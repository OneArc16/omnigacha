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SR CR IA\BD\"/>
    </mc:Choice>
  </mc:AlternateContent>
  <xr:revisionPtr revIDLastSave="0" documentId="13_ncr:1_{9285C50A-6484-4E6A-800F-DF4CFE5789C8}" xr6:coauthVersionLast="47" xr6:coauthVersionMax="47" xr10:uidLastSave="{00000000-0000-0000-0000-000000000000}"/>
  <bookViews>
    <workbookView xWindow="-120" yWindow="-120" windowWidth="20730" windowHeight="11160" xr2:uid="{E6D6F683-DE78-4B79-BCDA-89D0987E5451}"/>
  </bookViews>
  <sheets>
    <sheet name="Personajes" sheetId="1" r:id="rId1"/>
  </sheets>
  <externalReferences>
    <externalReference r:id="rId2"/>
  </externalReferences>
  <definedNames>
    <definedName name="_xlnm._FilterDatabase" localSheetId="0" hidden="1">Personajes!$A$2:$Y$82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74" i="1" l="1"/>
  <c r="AJ73" i="1"/>
  <c r="AJ72" i="1"/>
  <c r="AJ71" i="1"/>
  <c r="AJ70" i="1"/>
  <c r="AJ69" i="1"/>
  <c r="AJ68" i="1"/>
  <c r="AJ67" i="1"/>
  <c r="AJ81" i="1"/>
  <c r="AJ80" i="1"/>
  <c r="AJ79" i="1"/>
  <c r="AJ78" i="1"/>
  <c r="AJ77" i="1"/>
  <c r="AJ66" i="1"/>
  <c r="AG72" i="1"/>
  <c r="AG81" i="1"/>
  <c r="AG82" i="1"/>
  <c r="AF82" i="1"/>
  <c r="AF80" i="1"/>
  <c r="AG79" i="1"/>
  <c r="AG78" i="1"/>
  <c r="AF78" i="1"/>
  <c r="AH77" i="1"/>
  <c r="AG77" i="1"/>
  <c r="AF77" i="1"/>
  <c r="AG76" i="1"/>
  <c r="AF76" i="1"/>
  <c r="AG75" i="1"/>
  <c r="AF75" i="1"/>
  <c r="AG74" i="1"/>
  <c r="AF74" i="1"/>
  <c r="AG73" i="1"/>
  <c r="AF73" i="1"/>
  <c r="AF71" i="1"/>
  <c r="AG69" i="1"/>
  <c r="AF81" i="1"/>
  <c r="AF79" i="1"/>
  <c r="AF72" i="1"/>
  <c r="AF70" i="1"/>
  <c r="AF69" i="1"/>
  <c r="AG68" i="1"/>
  <c r="AF68" i="1"/>
  <c r="AG40" i="1"/>
  <c r="AI66" i="1"/>
  <c r="AG67" i="1"/>
  <c r="AF67" i="1"/>
  <c r="AG66" i="1"/>
  <c r="AH66" i="1"/>
  <c r="AF66" i="1"/>
  <c r="AG65" i="1"/>
  <c r="AF65" i="1"/>
  <c r="AG64" i="1"/>
  <c r="AF64" i="1"/>
  <c r="AH46" i="1"/>
  <c r="AG11" i="1"/>
  <c r="AG63" i="1"/>
  <c r="AF63" i="1"/>
  <c r="AG62" i="1"/>
  <c r="AF62" i="1"/>
  <c r="AG61" i="1"/>
  <c r="AF61" i="1"/>
  <c r="AH60" i="1"/>
  <c r="AG60" i="1"/>
  <c r="AF60" i="1"/>
  <c r="AF59" i="1"/>
  <c r="AG58" i="1"/>
  <c r="AF58" i="1"/>
  <c r="AH57" i="1"/>
  <c r="AG57" i="1"/>
  <c r="AF57" i="1"/>
  <c r="AG56" i="1"/>
  <c r="AF56" i="1"/>
  <c r="AG55" i="1"/>
  <c r="AF55" i="1"/>
  <c r="AF54" i="1"/>
  <c r="AG53" i="1"/>
  <c r="AF53" i="1"/>
  <c r="AG52" i="1"/>
  <c r="AF52" i="1"/>
  <c r="AF51" i="1"/>
  <c r="AH50" i="1"/>
  <c r="AG50" i="1"/>
  <c r="AF50" i="1"/>
  <c r="AF49" i="1"/>
  <c r="AH48" i="1"/>
  <c r="AG48" i="1"/>
  <c r="AF48" i="1"/>
  <c r="AF47" i="1"/>
  <c r="AG46" i="1"/>
  <c r="AF46" i="1"/>
  <c r="AF45" i="1"/>
  <c r="AG44" i="1"/>
  <c r="AF44" i="1"/>
  <c r="AF43" i="1"/>
  <c r="AF42" i="1"/>
  <c r="AF39" i="1"/>
  <c r="AF40" i="1"/>
  <c r="AF38" i="1"/>
  <c r="AF37" i="1"/>
  <c r="AF36" i="1"/>
  <c r="AF35" i="1"/>
  <c r="AF34" i="1"/>
  <c r="AF33" i="1"/>
  <c r="AF32" i="1"/>
  <c r="AH31" i="1"/>
  <c r="AG31" i="1"/>
  <c r="AF31" i="1"/>
  <c r="AF30" i="1"/>
  <c r="AF27" i="1"/>
  <c r="AF26" i="1"/>
  <c r="AF20" i="1"/>
  <c r="AF15" i="1"/>
  <c r="AF14" i="1"/>
  <c r="AF16" i="1"/>
  <c r="AF11" i="1"/>
  <c r="AF28" i="1"/>
  <c r="AF25" i="1"/>
  <c r="AF24" i="1"/>
  <c r="AF23" i="1"/>
  <c r="AF22" i="1"/>
  <c r="AF21" i="1"/>
  <c r="AF19" i="1"/>
  <c r="AF18" i="1"/>
  <c r="AF17" i="1"/>
  <c r="AF13" i="1"/>
  <c r="AF12" i="1"/>
  <c r="AF10" i="1"/>
  <c r="AF9" i="1"/>
  <c r="AF8" i="1"/>
  <c r="AF7" i="1"/>
  <c r="AF6" i="1"/>
  <c r="AF5" i="1"/>
  <c r="AF4" i="1"/>
  <c r="AF3" i="1"/>
  <c r="AD80" i="1"/>
  <c r="AD72" i="1"/>
  <c r="AD60" i="1"/>
  <c r="AD79" i="1"/>
  <c r="AD77" i="1"/>
  <c r="AE79" i="1"/>
  <c r="AD61" i="1"/>
  <c r="AD58" i="1"/>
  <c r="AD54" i="1"/>
  <c r="AD82" i="1"/>
  <c r="AD81" i="1"/>
  <c r="AD78" i="1"/>
  <c r="AD73" i="1"/>
  <c r="AD68" i="1"/>
  <c r="AD67" i="1"/>
  <c r="AD64" i="1"/>
  <c r="AD63" i="1"/>
  <c r="AD57" i="1"/>
  <c r="AD55" i="1"/>
  <c r="AD51" i="1"/>
  <c r="AD50" i="1"/>
  <c r="AD49" i="1"/>
  <c r="AD76" i="1"/>
  <c r="AD75" i="1"/>
  <c r="AD74" i="1"/>
  <c r="AD71" i="1"/>
  <c r="AD70" i="1"/>
  <c r="AD69" i="1"/>
  <c r="AD66" i="1"/>
  <c r="AD65" i="1"/>
  <c r="AD62" i="1"/>
  <c r="AD59" i="1"/>
  <c r="AD56" i="1"/>
  <c r="AD53" i="1"/>
  <c r="AD52" i="1"/>
  <c r="AD48" i="1"/>
  <c r="AD47" i="1"/>
  <c r="AD46" i="1"/>
  <c r="AD45" i="1"/>
  <c r="AD44" i="1"/>
  <c r="AD43" i="1"/>
  <c r="AD42" i="1"/>
  <c r="AD41" i="1"/>
  <c r="AE40" i="1"/>
  <c r="AD40" i="1"/>
  <c r="AD39" i="1"/>
  <c r="AD38" i="1"/>
  <c r="AD37" i="1"/>
  <c r="AD36" i="1"/>
  <c r="AD35" i="1"/>
  <c r="AD34" i="1"/>
  <c r="AD33" i="1"/>
  <c r="AD32" i="1"/>
  <c r="AD31" i="1"/>
  <c r="AE30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B82" i="1"/>
  <c r="AA82" i="1"/>
  <c r="Z82" i="1"/>
  <c r="AA81" i="1"/>
  <c r="Z81" i="1"/>
  <c r="AA80" i="1"/>
  <c r="Z80" i="1"/>
  <c r="AA79" i="1"/>
  <c r="Z79" i="1"/>
  <c r="Z78" i="1"/>
  <c r="AA77" i="1"/>
  <c r="Z77" i="1"/>
  <c r="Z76" i="1"/>
  <c r="Z75" i="1"/>
  <c r="AA73" i="1"/>
  <c r="Z73" i="1"/>
  <c r="AA72" i="1"/>
  <c r="Z72" i="1"/>
  <c r="Z71" i="1"/>
  <c r="AA70" i="1"/>
  <c r="Z70" i="1"/>
  <c r="Z69" i="1"/>
  <c r="Z68" i="1"/>
  <c r="AA67" i="1"/>
  <c r="Z67" i="1"/>
  <c r="AA66" i="1"/>
  <c r="Z66" i="1"/>
  <c r="AB65" i="1"/>
  <c r="AA65" i="1"/>
  <c r="Z65" i="1"/>
  <c r="AC64" i="1"/>
  <c r="AB64" i="1"/>
  <c r="AA64" i="1"/>
  <c r="Z64" i="1"/>
  <c r="AB63" i="1"/>
  <c r="AA63" i="1"/>
  <c r="Z63" i="1"/>
  <c r="AA62" i="1"/>
  <c r="Z62" i="1"/>
  <c r="Z61" i="1"/>
  <c r="AA60" i="1"/>
  <c r="Z60" i="1"/>
  <c r="AB58" i="1"/>
  <c r="AA58" i="1"/>
  <c r="Z58" i="1"/>
  <c r="AA57" i="1"/>
  <c r="Z57" i="1"/>
  <c r="AA55" i="1"/>
  <c r="Z54" i="1"/>
  <c r="Z55" i="1"/>
  <c r="AB53" i="1"/>
  <c r="AA53" i="1"/>
  <c r="Z53" i="1"/>
  <c r="Z52" i="1"/>
  <c r="AA51" i="1"/>
  <c r="Z51" i="1"/>
  <c r="AC50" i="1"/>
  <c r="AB50" i="1"/>
  <c r="AA50" i="1"/>
  <c r="Z50" i="1"/>
  <c r="AA49" i="1"/>
  <c r="Z49" i="1"/>
  <c r="Z48" i="1"/>
  <c r="Z47" i="1"/>
  <c r="AB46" i="1"/>
  <c r="AA46" i="1"/>
  <c r="Z46" i="1"/>
  <c r="AA45" i="1"/>
  <c r="Z45" i="1"/>
  <c r="Z44" i="1"/>
  <c r="Z43" i="1"/>
  <c r="AB42" i="1"/>
  <c r="AA42" i="1"/>
  <c r="Z42" i="1"/>
  <c r="Z41" i="1"/>
  <c r="AA39" i="1"/>
  <c r="Z39" i="1"/>
  <c r="AA38" i="1"/>
  <c r="Z38" i="1"/>
  <c r="Z37" i="1"/>
  <c r="Z36" i="1"/>
  <c r="Z34" i="1"/>
  <c r="Z33" i="1"/>
  <c r="AA32" i="1"/>
  <c r="Z32" i="1"/>
  <c r="Z31" i="1"/>
  <c r="Z30" i="1"/>
  <c r="Z29" i="1"/>
  <c r="Z28" i="1"/>
  <c r="Z27" i="1"/>
  <c r="AA24" i="1"/>
  <c r="Z24" i="1"/>
  <c r="AA22" i="1"/>
  <c r="Z22" i="1"/>
  <c r="Z21" i="1"/>
  <c r="AA20" i="1"/>
  <c r="Z20" i="1"/>
  <c r="AB18" i="1"/>
  <c r="AA18" i="1"/>
  <c r="Z18" i="1"/>
  <c r="Z16" i="1"/>
  <c r="Z13" i="1"/>
  <c r="Z12" i="1"/>
  <c r="AB11" i="1"/>
  <c r="AA11" i="1"/>
  <c r="Z11" i="1"/>
  <c r="Z9" i="1"/>
  <c r="AA7" i="1"/>
  <c r="Z7" i="1"/>
  <c r="AA5" i="1"/>
  <c r="Z5" i="1"/>
</calcChain>
</file>

<file path=xl/sharedStrings.xml><?xml version="1.0" encoding="utf-8"?>
<sst xmlns="http://schemas.openxmlformats.org/spreadsheetml/2006/main" count="435" uniqueCount="136">
  <si>
    <t>Personaje</t>
  </si>
  <si>
    <t>Vida base</t>
  </si>
  <si>
    <t>Ataque Base</t>
  </si>
  <si>
    <t>Defensa base</t>
  </si>
  <si>
    <t>Prob. Crítico</t>
  </si>
  <si>
    <t>Daño Crítico</t>
  </si>
  <si>
    <t>Efecto de Ruptura</t>
  </si>
  <si>
    <t>Exultación</t>
  </si>
  <si>
    <t>Acierto de efecto</t>
  </si>
  <si>
    <t>RES a efecto</t>
  </si>
  <si>
    <t>Velocidad</t>
  </si>
  <si>
    <t>Siete de Marzo</t>
  </si>
  <si>
    <t>Trazacaminos - Destrucción</t>
  </si>
  <si>
    <t>Ataque%</t>
  </si>
  <si>
    <t>Vida%</t>
  </si>
  <si>
    <t>Defensa%</t>
  </si>
  <si>
    <t>Rastros menores</t>
  </si>
  <si>
    <t>Dan Heng</t>
  </si>
  <si>
    <t>12.5%</t>
  </si>
  <si>
    <t>22.5%</t>
  </si>
  <si>
    <t>Physical DMG Boost</t>
  </si>
  <si>
    <t>Fire DMG Boost</t>
  </si>
  <si>
    <t>Ice DMG Boost</t>
  </si>
  <si>
    <t>Lightning DMG Boost</t>
  </si>
  <si>
    <t>Wind DMG Boost</t>
  </si>
  <si>
    <t>Quantum DMG Boost</t>
  </si>
  <si>
    <t>Imaginary DMG Boost</t>
  </si>
  <si>
    <t>22.4%</t>
  </si>
  <si>
    <t>Himeko</t>
  </si>
  <si>
    <t>Welt</t>
  </si>
  <si>
    <t>Arlan</t>
  </si>
  <si>
    <t>Asta</t>
  </si>
  <si>
    <t>Herta</t>
  </si>
  <si>
    <t>Bronya</t>
  </si>
  <si>
    <t>Seele</t>
  </si>
  <si>
    <t>Serval</t>
  </si>
  <si>
    <t>Gepard</t>
  </si>
  <si>
    <t>Natasha</t>
  </si>
  <si>
    <t>Pela</t>
  </si>
  <si>
    <t>Hook</t>
  </si>
  <si>
    <t>Trazacaminos - Conservación</t>
  </si>
  <si>
    <t>Quinque</t>
  </si>
  <si>
    <t>Tingyun</t>
  </si>
  <si>
    <t>Jing Yuan</t>
  </si>
  <si>
    <t>Yanquing</t>
  </si>
  <si>
    <t>Bailu</t>
  </si>
  <si>
    <t>Silver Wolf</t>
  </si>
  <si>
    <t>Luocha</t>
  </si>
  <si>
    <t>Yukong</t>
  </si>
  <si>
    <t>Blade</t>
  </si>
  <si>
    <t>Kafka</t>
  </si>
  <si>
    <t>Luka</t>
  </si>
  <si>
    <t>Fu Xuan</t>
  </si>
  <si>
    <t>Dan Heng - Imbibitor Lunae</t>
  </si>
  <si>
    <t>Lynx</t>
  </si>
  <si>
    <t>Jingliu</t>
  </si>
  <si>
    <t>Topaz y Conti</t>
  </si>
  <si>
    <t>Guinaifen</t>
  </si>
  <si>
    <t>Huohuo</t>
  </si>
  <si>
    <t>Argenti</t>
  </si>
  <si>
    <t>Hanya</t>
  </si>
  <si>
    <t>Ruan Mei</t>
  </si>
  <si>
    <t>Dr. Ratio</t>
  </si>
  <si>
    <t>Xueyi</t>
  </si>
  <si>
    <t>Cisne Negro</t>
  </si>
  <si>
    <t>Sparkle</t>
  </si>
  <si>
    <t>Misha</t>
  </si>
  <si>
    <t>Acheron</t>
  </si>
  <si>
    <t>Aventurine</t>
  </si>
  <si>
    <t>Gallagher</t>
  </si>
  <si>
    <t>Robin</t>
  </si>
  <si>
    <t>Boothill</t>
  </si>
  <si>
    <t>Luciérnaga</t>
  </si>
  <si>
    <t>Jade</t>
  </si>
  <si>
    <t>Trazacaminos - Armonía</t>
  </si>
  <si>
    <t>Yunli</t>
  </si>
  <si>
    <t>Jiaoqiu</t>
  </si>
  <si>
    <t>Siete de Marzo: Cacería</t>
  </si>
  <si>
    <t>Feixiao</t>
  </si>
  <si>
    <t>Lingsha</t>
  </si>
  <si>
    <t>Moze</t>
  </si>
  <si>
    <t>Rappa</t>
  </si>
  <si>
    <t>Sunday</t>
  </si>
  <si>
    <t>Fugue</t>
  </si>
  <si>
    <t>Sra. Herta</t>
  </si>
  <si>
    <t>Aglaea</t>
  </si>
  <si>
    <t>Trazacaminos: Reminiscencia</t>
  </si>
  <si>
    <t>Tribbie</t>
  </si>
  <si>
    <t>Midei</t>
  </si>
  <si>
    <t>Castorice</t>
  </si>
  <si>
    <t>Anaxa</t>
  </si>
  <si>
    <t>Hyacine</t>
  </si>
  <si>
    <t>Cífer</t>
  </si>
  <si>
    <t>Fainón</t>
  </si>
  <si>
    <t>Archer</t>
  </si>
  <si>
    <t>Clara</t>
  </si>
  <si>
    <t>Sampo</t>
  </si>
  <si>
    <t>saber</t>
  </si>
  <si>
    <t>Hysilens</t>
  </si>
  <si>
    <t>Céridra</t>
  </si>
  <si>
    <t>Larganoche</t>
  </si>
  <si>
    <t>Dan Heng - Permansor Terrae</t>
  </si>
  <si>
    <t>Cirene</t>
  </si>
  <si>
    <t>La Dalia</t>
  </si>
  <si>
    <t>14.4%</t>
  </si>
  <si>
    <t>6.7%</t>
  </si>
  <si>
    <t>Vía</t>
  </si>
  <si>
    <t>Elemento</t>
  </si>
  <si>
    <t>Rareza</t>
  </si>
  <si>
    <t>18.7%</t>
  </si>
  <si>
    <t>13.3%</t>
  </si>
  <si>
    <t>Sushang</t>
  </si>
  <si>
    <t>37.3%</t>
  </si>
  <si>
    <t>5*</t>
  </si>
  <si>
    <t>4*</t>
  </si>
  <si>
    <t>Destrucción</t>
  </si>
  <si>
    <t>Conservación</t>
  </si>
  <si>
    <t>Físico</t>
  </si>
  <si>
    <t>Hielo</t>
  </si>
  <si>
    <t>Cacería</t>
  </si>
  <si>
    <t>Viento</t>
  </si>
  <si>
    <t>Erudición</t>
  </si>
  <si>
    <t>Fuego</t>
  </si>
  <si>
    <t>Nihilidad</t>
  </si>
  <si>
    <t>Imaginario</t>
  </si>
  <si>
    <t>Rayo</t>
  </si>
  <si>
    <t>Armonía</t>
  </si>
  <si>
    <t>Cuántico</t>
  </si>
  <si>
    <t>Abundancia</t>
  </si>
  <si>
    <t>Reminiscencia</t>
  </si>
  <si>
    <t>Tags</t>
  </si>
  <si>
    <t>Rol</t>
  </si>
  <si>
    <t>Características</t>
  </si>
  <si>
    <t>SpeedTunning</t>
  </si>
  <si>
    <t>SPD-Scaller</t>
  </si>
  <si>
    <t>EHR-Scaller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</si>
</sst>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9" fontId="0" fillId="0" borderId="1" xfId="1" applyFont="1" applyBorder="1"/>
    <xf numFmtId="1" fontId="0" fillId="0" borderId="1" xfId="1" applyNumberFormat="1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0" fontId="0" fillId="0" borderId="4" xfId="0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2" fillId="0" borderId="9" xfId="0" applyFont="1" applyBorder="1"/>
    <xf numFmtId="0" fontId="2" fillId="0" borderId="14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SR%20CR%20IA\BD\Tags.xlsx" TargetMode="External"/><Relationship Id="rId1" Type="http://schemas.openxmlformats.org/officeDocument/2006/relationships/externalLinkPath" Target="Ta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gs"/>
    </sheetNames>
    <sheetDataSet>
      <sheetData sheetId="0">
        <row r="2">
          <cell r="A2" t="str">
            <v>Advance</v>
          </cell>
        </row>
        <row r="3">
          <cell r="A3" t="str">
            <v>Buff</v>
          </cell>
        </row>
        <row r="4">
          <cell r="A4" t="str">
            <v>Delay</v>
          </cell>
        </row>
        <row r="5">
          <cell r="A5" t="str">
            <v>Energy</v>
          </cell>
        </row>
        <row r="6">
          <cell r="A6" t="str">
            <v>SP-Friendly</v>
          </cell>
        </row>
        <row r="9">
          <cell r="A9" t="str">
            <v>SP-Unfriendly</v>
          </cell>
        </row>
        <row r="12">
          <cell r="A12" t="str">
            <v>Break</v>
          </cell>
        </row>
        <row r="13">
          <cell r="A13" t="str">
            <v>Debuff</v>
          </cell>
        </row>
        <row r="14">
          <cell r="A14" t="str">
            <v>DoT</v>
          </cell>
        </row>
        <row r="17">
          <cell r="A17" t="str">
            <v>DPS</v>
          </cell>
        </row>
        <row r="18">
          <cell r="A18" t="str">
            <v>Support-DPS</v>
          </cell>
        </row>
        <row r="19">
          <cell r="A19" t="str">
            <v>Amplifier</v>
          </cell>
        </row>
        <row r="20">
          <cell r="A20" t="str">
            <v>Sustain</v>
          </cell>
        </row>
        <row r="23">
          <cell r="A23" t="str">
            <v>HP-Scaller</v>
          </cell>
        </row>
        <row r="24">
          <cell r="A24" t="str">
            <v>DEF-Scaller</v>
          </cell>
        </row>
        <row r="25">
          <cell r="A25" t="str">
            <v>SPD-Scaller</v>
          </cell>
        </row>
        <row r="26">
          <cell r="A26" t="str">
            <v>ATK-Scaller</v>
          </cell>
        </row>
        <row r="27">
          <cell r="A27" t="str">
            <v>Break-Scaller</v>
          </cell>
        </row>
        <row r="28">
          <cell r="A28" t="str">
            <v>EHR-Scaller</v>
          </cell>
        </row>
        <row r="29">
          <cell r="A29" t="str">
            <v>CritDMG-Scaller</v>
          </cell>
        </row>
        <row r="30">
          <cell r="A30" t="str">
            <v>BaseSpeed</v>
          </cell>
        </row>
        <row r="32">
          <cell r="A32" t="str">
            <v>HighSpeed</v>
          </cell>
        </row>
        <row r="33">
          <cell r="A33" t="str">
            <v>HighEnergy</v>
          </cell>
        </row>
        <row r="34">
          <cell r="A34" t="str">
            <v>VeryHighEnergy</v>
          </cell>
        </row>
        <row r="35">
          <cell r="A35" t="str">
            <v>LowEnergy</v>
          </cell>
        </row>
        <row r="36">
          <cell r="A36" t="str">
            <v>UltimateReliance</v>
          </cell>
        </row>
        <row r="38">
          <cell r="A38" t="str">
            <v>CrisosHeir</v>
          </cell>
        </row>
        <row r="39">
          <cell r="A39" t="str">
            <v>SpeedTunning</v>
          </cell>
        </row>
        <row r="40">
          <cell r="A40" t="str">
            <v>SpdBreakpoint</v>
          </cell>
        </row>
        <row r="41">
          <cell r="A41" t="str">
            <v>BreakPlayed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29FC-6DD1-4787-A64D-367545F32981}">
  <dimension ref="A1:AJ82"/>
  <sheetViews>
    <sheetView tabSelected="1" zoomScale="80" zoomScaleNormal="80" workbookViewId="0">
      <selection activeCell="A2" sqref="A2"/>
    </sheetView>
  </sheetViews>
  <sheetFormatPr baseColWidth="10" defaultRowHeight="15" x14ac:dyDescent="0.25"/>
  <cols>
    <col min="1" max="1" width="28" bestFit="1" customWidth="1"/>
    <col min="2" max="2" width="14.140625" customWidth="1"/>
    <col min="3" max="3" width="10.7109375" customWidth="1"/>
    <col min="4" max="4" width="7.28515625" customWidth="1"/>
    <col min="5" max="5" width="9.85546875" customWidth="1"/>
    <col min="6" max="6" width="12.28515625" customWidth="1"/>
    <col min="7" max="7" width="13.42578125" customWidth="1"/>
    <col min="8" max="8" width="10" customWidth="1"/>
    <col min="9" max="9" width="6.7109375" customWidth="1"/>
    <col min="10" max="10" width="9.140625" customWidth="1"/>
    <col min="11" max="11" width="10.28515625" customWidth="1"/>
    <col min="12" max="12" width="10" customWidth="1"/>
    <col min="13" max="14" width="12.28515625" customWidth="1"/>
    <col min="15" max="15" width="16.42578125" customWidth="1"/>
    <col min="16" max="16" width="10.140625" customWidth="1"/>
    <col min="17" max="17" width="15.42578125" customWidth="1"/>
    <col min="18" max="18" width="12.28515625" customWidth="1"/>
    <col min="19" max="19" width="19.28515625" customWidth="1"/>
    <col min="20" max="20" width="15" customWidth="1"/>
    <col min="21" max="21" width="14.28515625" customWidth="1"/>
    <col min="22" max="22" width="20" customWidth="1"/>
    <col min="23" max="23" width="16.28515625" customWidth="1"/>
    <col min="24" max="24" width="20" customWidth="1"/>
    <col min="25" max="25" width="20.5703125" customWidth="1"/>
    <col min="26" max="28" width="12.85546875" customWidth="1"/>
    <col min="29" max="29" width="11" customWidth="1"/>
    <col min="30" max="30" width="12.28515625" customWidth="1"/>
    <col min="31" max="31" width="11.42578125" customWidth="1"/>
    <col min="32" max="32" width="15.85546875" bestFit="1" customWidth="1"/>
    <col min="33" max="34" width="16.42578125" bestFit="1" customWidth="1"/>
    <col min="35" max="35" width="14.5703125" bestFit="1" customWidth="1"/>
    <col min="36" max="36" width="10.5703125" bestFit="1" customWidth="1"/>
  </cols>
  <sheetData>
    <row r="1" spans="1:36" ht="15.75" thickBot="1" x14ac:dyDescent="0.3">
      <c r="I1" s="7" t="s">
        <v>16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36" ht="15.75" thickBot="1" x14ac:dyDescent="0.3">
      <c r="A2" s="14" t="s">
        <v>0</v>
      </c>
      <c r="B2" s="14" t="s">
        <v>106</v>
      </c>
      <c r="C2" s="14" t="s">
        <v>107</v>
      </c>
      <c r="D2" s="14" t="s">
        <v>108</v>
      </c>
      <c r="E2" s="4" t="s">
        <v>1</v>
      </c>
      <c r="F2" s="5" t="s">
        <v>2</v>
      </c>
      <c r="G2" s="5" t="s">
        <v>3</v>
      </c>
      <c r="H2" s="6" t="s">
        <v>10</v>
      </c>
      <c r="I2" s="8" t="s">
        <v>14</v>
      </c>
      <c r="J2" s="8" t="s">
        <v>13</v>
      </c>
      <c r="K2" s="8" t="s">
        <v>15</v>
      </c>
      <c r="L2" s="8" t="s">
        <v>10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8" t="s">
        <v>20</v>
      </c>
      <c r="T2" s="8" t="s">
        <v>21</v>
      </c>
      <c r="U2" s="8" t="s">
        <v>22</v>
      </c>
      <c r="V2" s="8" t="s">
        <v>23</v>
      </c>
      <c r="W2" s="8" t="s">
        <v>24</v>
      </c>
      <c r="X2" s="8" t="s">
        <v>25</v>
      </c>
      <c r="Y2" s="12" t="s">
        <v>26</v>
      </c>
      <c r="Z2" s="10" t="s">
        <v>130</v>
      </c>
      <c r="AA2" s="13"/>
      <c r="AB2" s="13"/>
      <c r="AC2" s="11"/>
      <c r="AD2" s="10" t="s">
        <v>131</v>
      </c>
      <c r="AE2" s="11"/>
      <c r="AF2" s="15" t="s">
        <v>132</v>
      </c>
      <c r="AG2" s="16"/>
      <c r="AH2" s="16"/>
      <c r="AI2" s="16"/>
      <c r="AJ2" s="17"/>
    </row>
    <row r="3" spans="1:36" x14ac:dyDescent="0.25">
      <c r="A3" s="9" t="s">
        <v>12</v>
      </c>
      <c r="B3" s="9" t="s">
        <v>115</v>
      </c>
      <c r="C3" s="9" t="s">
        <v>117</v>
      </c>
      <c r="D3" s="9" t="s">
        <v>113</v>
      </c>
      <c r="E3" s="1">
        <v>1203</v>
      </c>
      <c r="F3" s="1">
        <v>620</v>
      </c>
      <c r="G3" s="1">
        <v>460</v>
      </c>
      <c r="H3" s="1">
        <v>100</v>
      </c>
      <c r="I3" s="2">
        <v>0.18</v>
      </c>
      <c r="J3" s="2">
        <v>0.28000000000000003</v>
      </c>
      <c r="K3" s="2" t="s">
        <v>18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9"/>
      <c r="AA3" s="9"/>
      <c r="AB3" s="9"/>
      <c r="AC3" s="9"/>
      <c r="AD3" s="9" t="str">
        <f>[1]Tags!$A$17</f>
        <v>DPS</v>
      </c>
      <c r="AE3" s="9"/>
      <c r="AF3" s="1" t="str">
        <f>[1]Tags!$A$26</f>
        <v>ATK-Scaller</v>
      </c>
      <c r="AG3" s="1"/>
      <c r="AH3" s="1"/>
      <c r="AI3" s="1"/>
      <c r="AJ3" s="1"/>
    </row>
    <row r="4" spans="1:36" x14ac:dyDescent="0.25">
      <c r="A4" s="1" t="s">
        <v>11</v>
      </c>
      <c r="B4" s="1" t="s">
        <v>116</v>
      </c>
      <c r="C4" s="1" t="s">
        <v>118</v>
      </c>
      <c r="D4" s="1" t="s">
        <v>114</v>
      </c>
      <c r="E4" s="1">
        <v>1058</v>
      </c>
      <c r="F4" s="1">
        <v>511</v>
      </c>
      <c r="G4" s="1">
        <v>573</v>
      </c>
      <c r="H4" s="1">
        <v>101</v>
      </c>
      <c r="I4" s="2"/>
      <c r="J4" s="2"/>
      <c r="K4" s="2" t="s">
        <v>19</v>
      </c>
      <c r="L4" s="2"/>
      <c r="M4" s="2"/>
      <c r="N4" s="2"/>
      <c r="O4" s="2"/>
      <c r="P4" s="2"/>
      <c r="Q4" s="2"/>
      <c r="R4" s="2">
        <v>0.1</v>
      </c>
      <c r="S4" s="2"/>
      <c r="T4" s="2"/>
      <c r="U4" s="2" t="s">
        <v>27</v>
      </c>
      <c r="V4" s="2"/>
      <c r="W4" s="2"/>
      <c r="X4" s="2"/>
      <c r="Y4" s="2"/>
      <c r="Z4" s="1"/>
      <c r="AA4" s="1"/>
      <c r="AB4" s="1"/>
      <c r="AC4" s="1"/>
      <c r="AD4" s="1" t="str">
        <f>[1]Tags!$A$20</f>
        <v>Sustain</v>
      </c>
      <c r="AE4" s="1"/>
      <c r="AF4" s="1" t="str">
        <f>[1]Tags!$A$24</f>
        <v>DEF-Scaller</v>
      </c>
      <c r="AG4" s="1"/>
      <c r="AH4" s="1"/>
      <c r="AI4" s="1"/>
      <c r="AJ4" s="1"/>
    </row>
    <row r="5" spans="1:36" x14ac:dyDescent="0.25">
      <c r="A5" s="1" t="s">
        <v>17</v>
      </c>
      <c r="B5" s="1" t="s">
        <v>119</v>
      </c>
      <c r="C5" s="1" t="s">
        <v>120</v>
      </c>
      <c r="D5" s="1" t="s">
        <v>114</v>
      </c>
      <c r="E5" s="1">
        <v>882</v>
      </c>
      <c r="F5" s="1">
        <v>546</v>
      </c>
      <c r="G5" s="1">
        <v>396</v>
      </c>
      <c r="H5" s="1">
        <v>110</v>
      </c>
      <c r="I5" s="2"/>
      <c r="J5" s="2">
        <v>0.18</v>
      </c>
      <c r="K5" s="2" t="s">
        <v>18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27</v>
      </c>
      <c r="X5" s="2"/>
      <c r="Y5" s="2"/>
      <c r="Z5" s="1" t="str">
        <f>[1]Tags!$A$2</f>
        <v>Advance</v>
      </c>
      <c r="AA5" s="1" t="str">
        <f>[1]Tags!$A$13</f>
        <v>Debuff</v>
      </c>
      <c r="AB5" s="1"/>
      <c r="AC5" s="1"/>
      <c r="AD5" s="1" t="str">
        <f>[1]Tags!$A$17</f>
        <v>DPS</v>
      </c>
      <c r="AE5" s="1"/>
      <c r="AF5" s="1" t="str">
        <f>[1]Tags!$A$26</f>
        <v>ATK-Scaller</v>
      </c>
      <c r="AG5" s="1"/>
      <c r="AH5" s="1"/>
      <c r="AI5" s="1"/>
      <c r="AJ5" s="1"/>
    </row>
    <row r="6" spans="1:36" x14ac:dyDescent="0.25">
      <c r="A6" s="1" t="s">
        <v>28</v>
      </c>
      <c r="B6" s="1" t="s">
        <v>121</v>
      </c>
      <c r="C6" s="1" t="s">
        <v>122</v>
      </c>
      <c r="D6" s="1" t="s">
        <v>113</v>
      </c>
      <c r="E6" s="1">
        <v>1047</v>
      </c>
      <c r="F6" s="1">
        <v>756</v>
      </c>
      <c r="G6" s="1">
        <v>436</v>
      </c>
      <c r="H6" s="1">
        <v>96</v>
      </c>
      <c r="I6" s="2"/>
      <c r="J6" s="2">
        <v>0.18</v>
      </c>
      <c r="K6" s="2"/>
      <c r="L6" s="2"/>
      <c r="M6" s="2"/>
      <c r="N6" s="2"/>
      <c r="O6" s="2"/>
      <c r="P6" s="2"/>
      <c r="Q6" s="2"/>
      <c r="R6" s="2">
        <v>0.1</v>
      </c>
      <c r="S6" s="2"/>
      <c r="T6" s="2" t="s">
        <v>27</v>
      </c>
      <c r="U6" s="2"/>
      <c r="V6" s="2"/>
      <c r="W6" s="2"/>
      <c r="X6" s="2"/>
      <c r="Y6" s="2"/>
      <c r="Z6" s="1"/>
      <c r="AA6" s="1"/>
      <c r="AB6" s="1"/>
      <c r="AC6" s="1"/>
      <c r="AD6" s="1" t="str">
        <f>[1]Tags!$A$17</f>
        <v>DPS</v>
      </c>
      <c r="AE6" s="1"/>
      <c r="AF6" s="1" t="str">
        <f>[1]Tags!$A$26</f>
        <v>ATK-Scaller</v>
      </c>
      <c r="AG6" s="1"/>
      <c r="AH6" s="1"/>
      <c r="AI6" s="1"/>
      <c r="AJ6" s="1"/>
    </row>
    <row r="7" spans="1:36" x14ac:dyDescent="0.25">
      <c r="A7" s="1" t="s">
        <v>29</v>
      </c>
      <c r="B7" s="1" t="s">
        <v>123</v>
      </c>
      <c r="C7" s="1" t="s">
        <v>124</v>
      </c>
      <c r="D7" s="1" t="s">
        <v>113</v>
      </c>
      <c r="E7" s="1">
        <v>1125</v>
      </c>
      <c r="F7" s="1">
        <v>620</v>
      </c>
      <c r="G7" s="1">
        <v>509</v>
      </c>
      <c r="H7" s="1">
        <v>102</v>
      </c>
      <c r="I7" s="2"/>
      <c r="J7" s="2"/>
      <c r="K7" s="2"/>
      <c r="L7" s="2"/>
      <c r="M7" s="2"/>
      <c r="N7" s="2"/>
      <c r="O7" s="2"/>
      <c r="P7" s="2"/>
      <c r="Q7" s="2">
        <v>0.28000000000000003</v>
      </c>
      <c r="R7" s="2">
        <v>0.1</v>
      </c>
      <c r="S7" s="2"/>
      <c r="T7" s="2"/>
      <c r="U7" s="2"/>
      <c r="V7" s="2"/>
      <c r="W7" s="2"/>
      <c r="X7" s="2"/>
      <c r="Y7" s="2" t="s">
        <v>104</v>
      </c>
      <c r="Z7" s="1" t="str">
        <f>[1]Tags!$A$4</f>
        <v>Delay</v>
      </c>
      <c r="AA7" s="1" t="str">
        <f>[1]Tags!$A$13</f>
        <v>Debuff</v>
      </c>
      <c r="AB7" s="1"/>
      <c r="AC7" s="1"/>
      <c r="AD7" s="1" t="str">
        <f>[1]Tags!$A$19</f>
        <v>Amplifier</v>
      </c>
      <c r="AE7" s="1"/>
      <c r="AF7" s="1" t="str">
        <f>[1]Tags!$A$26</f>
        <v>ATK-Scaller</v>
      </c>
      <c r="AG7" s="1"/>
      <c r="AH7" s="1"/>
      <c r="AI7" s="1"/>
      <c r="AJ7" s="1"/>
    </row>
    <row r="8" spans="1:36" x14ac:dyDescent="0.25">
      <c r="A8" s="1" t="s">
        <v>30</v>
      </c>
      <c r="B8" s="1" t="s">
        <v>115</v>
      </c>
      <c r="C8" s="1" t="s">
        <v>125</v>
      </c>
      <c r="D8" s="1" t="s">
        <v>114</v>
      </c>
      <c r="E8" s="1">
        <v>1199</v>
      </c>
      <c r="F8" s="1">
        <v>599</v>
      </c>
      <c r="G8" s="1">
        <v>330</v>
      </c>
      <c r="H8" s="1">
        <v>102</v>
      </c>
      <c r="I8" s="2">
        <v>0.1</v>
      </c>
      <c r="J8" s="2">
        <v>0.28000000000000003</v>
      </c>
      <c r="K8" s="2"/>
      <c r="L8" s="2"/>
      <c r="M8" s="2"/>
      <c r="N8" s="2"/>
      <c r="O8" s="2"/>
      <c r="P8" s="2"/>
      <c r="Q8" s="2"/>
      <c r="R8" s="2">
        <v>0.18</v>
      </c>
      <c r="S8" s="2"/>
      <c r="T8" s="2"/>
      <c r="U8" s="2"/>
      <c r="V8" s="2"/>
      <c r="W8" s="2"/>
      <c r="X8" s="2"/>
      <c r="Y8" s="2"/>
      <c r="Z8" s="1"/>
      <c r="AA8" s="1"/>
      <c r="AB8" s="1"/>
      <c r="AC8" s="1"/>
      <c r="AD8" s="1" t="str">
        <f>[1]Tags!$A$17</f>
        <v>DPS</v>
      </c>
      <c r="AE8" s="1"/>
      <c r="AF8" s="1" t="str">
        <f>[1]Tags!$A$26</f>
        <v>ATK-Scaller</v>
      </c>
      <c r="AG8" s="1"/>
      <c r="AH8" s="1"/>
      <c r="AI8" s="1"/>
      <c r="AJ8" s="1"/>
    </row>
    <row r="9" spans="1:36" x14ac:dyDescent="0.25">
      <c r="A9" s="1" t="s">
        <v>31</v>
      </c>
      <c r="B9" s="1" t="s">
        <v>126</v>
      </c>
      <c r="C9" s="1" t="s">
        <v>122</v>
      </c>
      <c r="D9" s="1" t="s">
        <v>114</v>
      </c>
      <c r="E9" s="1">
        <v>1023</v>
      </c>
      <c r="F9" s="1">
        <v>511</v>
      </c>
      <c r="G9" s="1">
        <v>463</v>
      </c>
      <c r="H9" s="1">
        <v>106</v>
      </c>
      <c r="I9" s="2"/>
      <c r="J9" s="2"/>
      <c r="K9" s="2" t="s">
        <v>19</v>
      </c>
      <c r="L9" s="2"/>
      <c r="M9" s="2" t="s">
        <v>105</v>
      </c>
      <c r="N9" s="2"/>
      <c r="O9" s="2"/>
      <c r="P9" s="2"/>
      <c r="Q9" s="2"/>
      <c r="R9" s="2"/>
      <c r="S9" s="2"/>
      <c r="T9" s="2" t="s">
        <v>27</v>
      </c>
      <c r="U9" s="2"/>
      <c r="V9" s="2"/>
      <c r="W9" s="2"/>
      <c r="X9" s="2"/>
      <c r="Y9" s="2"/>
      <c r="Z9" s="1" t="str">
        <f>[1]Tags!$A$3</f>
        <v>Buff</v>
      </c>
      <c r="AA9" s="1"/>
      <c r="AB9" s="1"/>
      <c r="AC9" s="1"/>
      <c r="AD9" s="1" t="str">
        <f>[1]Tags!$A$19</f>
        <v>Amplifier</v>
      </c>
      <c r="AE9" s="1"/>
      <c r="AF9" s="1" t="str">
        <f>[1]Tags!$A$26</f>
        <v>ATK-Scaller</v>
      </c>
      <c r="AG9" s="1"/>
      <c r="AH9" s="1"/>
      <c r="AI9" s="1"/>
      <c r="AJ9" s="1"/>
    </row>
    <row r="10" spans="1:36" x14ac:dyDescent="0.25">
      <c r="A10" s="1" t="s">
        <v>32</v>
      </c>
      <c r="B10" s="1" t="s">
        <v>121</v>
      </c>
      <c r="C10" s="1" t="s">
        <v>118</v>
      </c>
      <c r="D10" s="1" t="s">
        <v>114</v>
      </c>
      <c r="E10" s="1">
        <v>952</v>
      </c>
      <c r="F10" s="1">
        <v>582</v>
      </c>
      <c r="G10" s="1">
        <v>396</v>
      </c>
      <c r="H10" s="1">
        <v>100</v>
      </c>
      <c r="I10" s="2"/>
      <c r="J10" s="2"/>
      <c r="K10" s="2" t="s">
        <v>19</v>
      </c>
      <c r="L10" s="2"/>
      <c r="M10" s="2" t="s">
        <v>105</v>
      </c>
      <c r="N10" s="2"/>
      <c r="O10" s="2"/>
      <c r="P10" s="2"/>
      <c r="Q10" s="2"/>
      <c r="R10" s="2"/>
      <c r="S10" s="2"/>
      <c r="T10" s="2"/>
      <c r="U10" s="2" t="s">
        <v>27</v>
      </c>
      <c r="V10" s="2"/>
      <c r="W10" s="2"/>
      <c r="X10" s="2"/>
      <c r="Y10" s="2"/>
      <c r="Z10" s="1"/>
      <c r="AA10" s="1"/>
      <c r="AB10" s="1"/>
      <c r="AC10" s="1"/>
      <c r="AD10" s="1" t="str">
        <f>[1]Tags!$A$18</f>
        <v>Support-DPS</v>
      </c>
      <c r="AE10" s="1"/>
      <c r="AF10" s="1" t="str">
        <f>[1]Tags!$A$26</f>
        <v>ATK-Scaller</v>
      </c>
      <c r="AG10" s="1"/>
      <c r="AH10" s="1"/>
      <c r="AI10" s="1"/>
      <c r="AJ10" s="1"/>
    </row>
    <row r="11" spans="1:36" x14ac:dyDescent="0.25">
      <c r="A11" s="1" t="s">
        <v>33</v>
      </c>
      <c r="B11" s="1" t="s">
        <v>126</v>
      </c>
      <c r="C11" s="1" t="s">
        <v>120</v>
      </c>
      <c r="D11" s="1" t="s">
        <v>113</v>
      </c>
      <c r="E11" s="1">
        <v>1241</v>
      </c>
      <c r="F11" s="1">
        <v>582</v>
      </c>
      <c r="G11" s="1">
        <v>533</v>
      </c>
      <c r="H11" s="1">
        <v>99</v>
      </c>
      <c r="I11" s="2"/>
      <c r="J11" s="2"/>
      <c r="K11" s="2"/>
      <c r="L11" s="2"/>
      <c r="M11" s="2"/>
      <c r="N11" s="2">
        <v>0.24</v>
      </c>
      <c r="O11" s="2"/>
      <c r="P11" s="2"/>
      <c r="Q11" s="2"/>
      <c r="R11" s="2">
        <v>0.1</v>
      </c>
      <c r="S11" s="2"/>
      <c r="T11" s="2"/>
      <c r="U11" s="2"/>
      <c r="V11" s="2"/>
      <c r="W11" s="2" t="s">
        <v>27</v>
      </c>
      <c r="X11" s="2"/>
      <c r="Y11" s="2"/>
      <c r="Z11" s="1" t="str">
        <f>[1]Tags!$A$2</f>
        <v>Advance</v>
      </c>
      <c r="AA11" s="1" t="str">
        <f>[1]Tags!$A$3</f>
        <v>Buff</v>
      </c>
      <c r="AB11" s="1" t="str">
        <f>[1]Tags!$A$9</f>
        <v>SP-Unfriendly</v>
      </c>
      <c r="AC11" s="1"/>
      <c r="AD11" s="1" t="str">
        <f>[1]Tags!$A$19</f>
        <v>Amplifier</v>
      </c>
      <c r="AE11" s="1"/>
      <c r="AF11" s="1" t="str">
        <f>[1]Tags!$A$39</f>
        <v>SpeedTunning</v>
      </c>
      <c r="AG11" s="1" t="str">
        <f>[1]Tags!$A$29</f>
        <v>CritDMG-Scaller</v>
      </c>
      <c r="AH11" s="1"/>
      <c r="AI11" s="1"/>
      <c r="AJ11" s="1"/>
    </row>
    <row r="12" spans="1:36" x14ac:dyDescent="0.25">
      <c r="A12" s="1" t="s">
        <v>34</v>
      </c>
      <c r="B12" s="1" t="s">
        <v>119</v>
      </c>
      <c r="C12" s="1" t="s">
        <v>127</v>
      </c>
      <c r="D12" s="1" t="s">
        <v>113</v>
      </c>
      <c r="E12" s="1">
        <v>931</v>
      </c>
      <c r="F12" s="1">
        <v>640</v>
      </c>
      <c r="G12" s="1">
        <v>363</v>
      </c>
      <c r="H12" s="1">
        <v>115</v>
      </c>
      <c r="I12" s="2"/>
      <c r="J12" s="2">
        <v>0.28000000000000003</v>
      </c>
      <c r="K12" s="2" t="s">
        <v>18</v>
      </c>
      <c r="L12" s="2"/>
      <c r="M12" s="2"/>
      <c r="N12" s="2">
        <v>0.24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" t="str">
        <f>[1]Tags!$A$2</f>
        <v>Advance</v>
      </c>
      <c r="AA12" s="1"/>
      <c r="AB12" s="1"/>
      <c r="AC12" s="1"/>
      <c r="AD12" s="1" t="str">
        <f>[1]Tags!$A$17</f>
        <v>DPS</v>
      </c>
      <c r="AE12" s="1"/>
      <c r="AF12" s="1" t="str">
        <f>[1]Tags!$A$26</f>
        <v>ATK-Scaller</v>
      </c>
      <c r="AG12" s="1"/>
      <c r="AH12" s="1"/>
      <c r="AI12" s="1"/>
      <c r="AJ12" s="1"/>
    </row>
    <row r="13" spans="1:36" x14ac:dyDescent="0.25">
      <c r="A13" s="1" t="s">
        <v>35</v>
      </c>
      <c r="B13" s="1" t="s">
        <v>121</v>
      </c>
      <c r="C13" s="1" t="s">
        <v>125</v>
      </c>
      <c r="D13" s="1" t="s">
        <v>114</v>
      </c>
      <c r="E13" s="1">
        <v>917</v>
      </c>
      <c r="F13" s="1">
        <v>652</v>
      </c>
      <c r="G13" s="1">
        <v>374</v>
      </c>
      <c r="H13" s="1">
        <v>104</v>
      </c>
      <c r="I13" s="2"/>
      <c r="J13" s="2"/>
      <c r="K13" s="2"/>
      <c r="L13" s="2"/>
      <c r="M13" s="2" t="s">
        <v>109</v>
      </c>
      <c r="N13" s="2"/>
      <c r="O13" s="2"/>
      <c r="P13" s="2"/>
      <c r="Q13" s="2">
        <v>0.18</v>
      </c>
      <c r="R13" s="2">
        <v>0.1</v>
      </c>
      <c r="S13" s="2"/>
      <c r="T13" s="2"/>
      <c r="U13" s="2"/>
      <c r="V13" s="2"/>
      <c r="W13" s="2"/>
      <c r="X13" s="2"/>
      <c r="Y13" s="2"/>
      <c r="Z13" s="1" t="str">
        <f>[1]Tags!$A$14</f>
        <v>DoT</v>
      </c>
      <c r="AA13" s="1"/>
      <c r="AB13" s="1"/>
      <c r="AC13" s="1"/>
      <c r="AD13" s="1" t="str">
        <f>[1]Tags!$A$18</f>
        <v>Support-DPS</v>
      </c>
      <c r="AE13" s="1"/>
      <c r="AF13" s="1" t="str">
        <f>[1]Tags!$A$26</f>
        <v>ATK-Scaller</v>
      </c>
      <c r="AG13" s="1"/>
      <c r="AH13" s="1"/>
      <c r="AI13" s="1"/>
      <c r="AJ13" s="1"/>
    </row>
    <row r="14" spans="1:36" x14ac:dyDescent="0.25">
      <c r="A14" s="1" t="s">
        <v>36</v>
      </c>
      <c r="B14" s="1" t="s">
        <v>116</v>
      </c>
      <c r="C14" s="1" t="s">
        <v>118</v>
      </c>
      <c r="D14" s="1" t="s">
        <v>113</v>
      </c>
      <c r="E14" s="1">
        <v>1397</v>
      </c>
      <c r="F14" s="1">
        <v>543</v>
      </c>
      <c r="G14" s="1">
        <v>654</v>
      </c>
      <c r="H14" s="1">
        <v>92</v>
      </c>
      <c r="I14" s="2"/>
      <c r="J14" s="2"/>
      <c r="K14" s="2" t="s">
        <v>18</v>
      </c>
      <c r="L14" s="2"/>
      <c r="M14" s="2"/>
      <c r="N14" s="2"/>
      <c r="O14" s="2"/>
      <c r="P14" s="2"/>
      <c r="Q14" s="2"/>
      <c r="R14" s="2">
        <v>0.18</v>
      </c>
      <c r="S14" s="2"/>
      <c r="T14" s="2"/>
      <c r="U14" s="2" t="s">
        <v>27</v>
      </c>
      <c r="V14" s="2"/>
      <c r="W14" s="2"/>
      <c r="X14" s="2"/>
      <c r="Y14" s="2"/>
      <c r="Z14" s="1"/>
      <c r="AA14" s="1"/>
      <c r="AB14" s="1"/>
      <c r="AC14" s="1"/>
      <c r="AD14" s="1" t="str">
        <f>[1]Tags!$A$20</f>
        <v>Sustain</v>
      </c>
      <c r="AE14" s="1"/>
      <c r="AF14" s="1" t="str">
        <f>[1]Tags!$A$24</f>
        <v>DEF-Scaller</v>
      </c>
      <c r="AG14" s="1"/>
      <c r="AH14" s="1"/>
      <c r="AI14" s="1"/>
      <c r="AJ14" s="1"/>
    </row>
    <row r="15" spans="1:36" x14ac:dyDescent="0.25">
      <c r="A15" s="1" t="s">
        <v>37</v>
      </c>
      <c r="B15" s="1" t="s">
        <v>128</v>
      </c>
      <c r="C15" s="1" t="s">
        <v>117</v>
      </c>
      <c r="D15" s="1" t="s">
        <v>114</v>
      </c>
      <c r="E15" s="1">
        <v>1164</v>
      </c>
      <c r="F15" s="1">
        <v>476</v>
      </c>
      <c r="G15" s="1">
        <v>507</v>
      </c>
      <c r="H15" s="1">
        <v>98</v>
      </c>
      <c r="I15" s="2">
        <v>0.28000000000000003</v>
      </c>
      <c r="J15" s="2"/>
      <c r="K15" s="2" t="s">
        <v>18</v>
      </c>
      <c r="L15" s="2"/>
      <c r="M15" s="2"/>
      <c r="N15" s="2"/>
      <c r="O15" s="2"/>
      <c r="P15" s="2"/>
      <c r="Q15" s="2"/>
      <c r="R15" s="2">
        <v>0.18</v>
      </c>
      <c r="S15" s="2"/>
      <c r="T15" s="2"/>
      <c r="U15" s="2"/>
      <c r="V15" s="2"/>
      <c r="W15" s="2"/>
      <c r="X15" s="2"/>
      <c r="Y15" s="2"/>
      <c r="Z15" s="1"/>
      <c r="AA15" s="1"/>
      <c r="AB15" s="1"/>
      <c r="AC15" s="1"/>
      <c r="AD15" s="1" t="str">
        <f>[1]Tags!$A$20</f>
        <v>Sustain</v>
      </c>
      <c r="AE15" s="1"/>
      <c r="AF15" s="1" t="str">
        <f>[1]Tags!$A$23</f>
        <v>HP-Scaller</v>
      </c>
      <c r="AG15" s="1"/>
      <c r="AH15" s="1"/>
      <c r="AI15" s="1"/>
      <c r="AJ15" s="1"/>
    </row>
    <row r="16" spans="1:36" x14ac:dyDescent="0.25">
      <c r="A16" s="1" t="s">
        <v>38</v>
      </c>
      <c r="B16" s="1" t="s">
        <v>123</v>
      </c>
      <c r="C16" s="1" t="s">
        <v>118</v>
      </c>
      <c r="D16" s="1" t="s">
        <v>114</v>
      </c>
      <c r="E16" s="1">
        <v>987</v>
      </c>
      <c r="F16" s="1">
        <v>546</v>
      </c>
      <c r="G16" s="1">
        <v>463</v>
      </c>
      <c r="H16" s="1">
        <v>105</v>
      </c>
      <c r="I16" s="2"/>
      <c r="J16" s="2">
        <v>0.18</v>
      </c>
      <c r="K16" s="2"/>
      <c r="L16" s="2"/>
      <c r="M16" s="2"/>
      <c r="N16" s="2"/>
      <c r="O16" s="2"/>
      <c r="P16" s="2"/>
      <c r="Q16" s="2">
        <v>0.1</v>
      </c>
      <c r="R16" s="2"/>
      <c r="S16" s="2"/>
      <c r="T16" s="2"/>
      <c r="U16" s="2" t="s">
        <v>27</v>
      </c>
      <c r="V16" s="2"/>
      <c r="W16" s="2"/>
      <c r="X16" s="2"/>
      <c r="Y16" s="2"/>
      <c r="Z16" s="1" t="str">
        <f>[1]Tags!$A$13</f>
        <v>Debuff</v>
      </c>
      <c r="AA16" s="1"/>
      <c r="AB16" s="1"/>
      <c r="AC16" s="1"/>
      <c r="AD16" s="1" t="str">
        <f>[1]Tags!$A$19</f>
        <v>Amplifier</v>
      </c>
      <c r="AE16" s="1"/>
      <c r="AF16" s="1" t="str">
        <f>[1]Tags!$A$39</f>
        <v>SpeedTunning</v>
      </c>
      <c r="AG16" s="1"/>
      <c r="AH16" s="1"/>
      <c r="AI16" s="1"/>
      <c r="AJ16" s="1"/>
    </row>
    <row r="17" spans="1:36" x14ac:dyDescent="0.25">
      <c r="A17" s="1" t="s">
        <v>95</v>
      </c>
      <c r="B17" s="1" t="s">
        <v>115</v>
      </c>
      <c r="C17" s="1" t="s">
        <v>117</v>
      </c>
      <c r="D17" s="1" t="s">
        <v>113</v>
      </c>
      <c r="E17" s="1">
        <v>1319</v>
      </c>
      <c r="F17" s="1">
        <v>737</v>
      </c>
      <c r="G17" s="1">
        <v>485</v>
      </c>
      <c r="H17" s="1">
        <v>90</v>
      </c>
      <c r="I17" s="2">
        <v>0.1</v>
      </c>
      <c r="J17" s="2">
        <v>0.28000000000000003</v>
      </c>
      <c r="K17" s="2"/>
      <c r="L17" s="2"/>
      <c r="M17" s="2"/>
      <c r="N17" s="2"/>
      <c r="O17" s="2"/>
      <c r="P17" s="2"/>
      <c r="Q17" s="2"/>
      <c r="R17" s="2"/>
      <c r="S17" s="2" t="s">
        <v>104</v>
      </c>
      <c r="T17" s="2"/>
      <c r="U17" s="2"/>
      <c r="V17" s="2"/>
      <c r="W17" s="2"/>
      <c r="X17" s="2"/>
      <c r="Y17" s="2"/>
      <c r="Z17" s="1"/>
      <c r="AA17" s="1"/>
      <c r="AB17" s="1"/>
      <c r="AC17" s="1"/>
      <c r="AD17" s="1" t="str">
        <f>[1]Tags!$A$17</f>
        <v>DPS</v>
      </c>
      <c r="AE17" s="1"/>
      <c r="AF17" s="1" t="str">
        <f>[1]Tags!$A$26</f>
        <v>ATK-Scaller</v>
      </c>
      <c r="AG17" s="1"/>
      <c r="AH17" s="1"/>
      <c r="AI17" s="1"/>
      <c r="AJ17" s="1"/>
    </row>
    <row r="18" spans="1:36" x14ac:dyDescent="0.25">
      <c r="A18" s="1" t="s">
        <v>96</v>
      </c>
      <c r="B18" s="1" t="s">
        <v>123</v>
      </c>
      <c r="C18" s="1" t="s">
        <v>120</v>
      </c>
      <c r="D18" s="1" t="s">
        <v>114</v>
      </c>
      <c r="E18" s="1">
        <v>1023</v>
      </c>
      <c r="F18" s="1">
        <v>617</v>
      </c>
      <c r="G18" s="1">
        <v>396</v>
      </c>
      <c r="H18" s="1">
        <v>102</v>
      </c>
      <c r="I18" s="2"/>
      <c r="J18" s="2">
        <v>0.28000000000000003</v>
      </c>
      <c r="K18" s="2"/>
      <c r="L18" s="2"/>
      <c r="M18" s="2"/>
      <c r="N18" s="2"/>
      <c r="O18" s="2"/>
      <c r="P18" s="2"/>
      <c r="Q18" s="2">
        <v>0.18</v>
      </c>
      <c r="R18" s="2">
        <v>0.1</v>
      </c>
      <c r="S18" s="2"/>
      <c r="T18" s="2"/>
      <c r="U18" s="2"/>
      <c r="V18" s="2"/>
      <c r="W18" s="2"/>
      <c r="X18" s="2"/>
      <c r="Y18" s="2"/>
      <c r="Z18" s="1" t="str">
        <f>[1]Tags!$A$12</f>
        <v>Break</v>
      </c>
      <c r="AA18" s="1" t="str">
        <f>[1]Tags!$A$13</f>
        <v>Debuff</v>
      </c>
      <c r="AB18" s="1" t="str">
        <f>[1]Tags!$A$14</f>
        <v>DoT</v>
      </c>
      <c r="AC18" s="1"/>
      <c r="AD18" s="1" t="str">
        <f>[1]Tags!$A$18</f>
        <v>Support-DPS</v>
      </c>
      <c r="AE18" s="1"/>
      <c r="AF18" s="1" t="str">
        <f>[1]Tags!$A$26</f>
        <v>ATK-Scaller</v>
      </c>
      <c r="AG18" s="1"/>
      <c r="AH18" s="1"/>
      <c r="AI18" s="1"/>
      <c r="AJ18" s="1"/>
    </row>
    <row r="19" spans="1:36" x14ac:dyDescent="0.25">
      <c r="A19" s="1" t="s">
        <v>39</v>
      </c>
      <c r="B19" s="1" t="s">
        <v>115</v>
      </c>
      <c r="C19" s="1" t="s">
        <v>122</v>
      </c>
      <c r="D19" s="1" t="s">
        <v>114</v>
      </c>
      <c r="E19" s="1">
        <v>1340</v>
      </c>
      <c r="F19" s="1">
        <v>617</v>
      </c>
      <c r="G19" s="1">
        <v>352</v>
      </c>
      <c r="H19" s="1">
        <v>94</v>
      </c>
      <c r="I19" s="2">
        <v>0.18</v>
      </c>
      <c r="J19" s="2">
        <v>0.28000000000000003</v>
      </c>
      <c r="K19" s="2"/>
      <c r="L19" s="2"/>
      <c r="M19" s="2"/>
      <c r="N19" s="2" t="s">
        <v>110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1"/>
      <c r="AA19" s="1"/>
      <c r="AB19" s="1"/>
      <c r="AC19" s="1"/>
      <c r="AD19" s="1" t="str">
        <f>[1]Tags!$A$17</f>
        <v>DPS</v>
      </c>
      <c r="AE19" s="1"/>
      <c r="AF19" s="1" t="str">
        <f>[1]Tags!$A$26</f>
        <v>ATK-Scaller</v>
      </c>
      <c r="AG19" s="1"/>
      <c r="AH19" s="1"/>
      <c r="AI19" s="1"/>
      <c r="AJ19" s="1"/>
    </row>
    <row r="20" spans="1:36" x14ac:dyDescent="0.25">
      <c r="A20" s="1" t="s">
        <v>40</v>
      </c>
      <c r="B20" s="1" t="s">
        <v>116</v>
      </c>
      <c r="C20" s="1" t="s">
        <v>122</v>
      </c>
      <c r="D20" s="1" t="s">
        <v>113</v>
      </c>
      <c r="E20" s="1">
        <v>1241</v>
      </c>
      <c r="F20" s="1">
        <v>601</v>
      </c>
      <c r="G20" s="1">
        <v>606</v>
      </c>
      <c r="H20" s="1">
        <v>95</v>
      </c>
      <c r="I20" s="2">
        <v>0.1</v>
      </c>
      <c r="J20" s="2">
        <v>0.18</v>
      </c>
      <c r="K20" s="2">
        <v>0.35</v>
      </c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1" t="str">
        <f>[1]Tags!$A$12</f>
        <v>Break</v>
      </c>
      <c r="AA20" s="1" t="str">
        <f>[1]Tags!$A$13</f>
        <v>Debuff</v>
      </c>
      <c r="AB20" s="1"/>
      <c r="AC20" s="1"/>
      <c r="AD20" s="1" t="str">
        <f>[1]Tags!$A$20</f>
        <v>Sustain</v>
      </c>
      <c r="AE20" s="1"/>
      <c r="AF20" s="1" t="str">
        <f>[1]Tags!$A$24</f>
        <v>DEF-Scaller</v>
      </c>
      <c r="AG20" s="1"/>
      <c r="AH20" s="1"/>
      <c r="AI20" s="1"/>
      <c r="AJ20" s="1"/>
    </row>
    <row r="21" spans="1:36" x14ac:dyDescent="0.25">
      <c r="A21" s="1" t="s">
        <v>41</v>
      </c>
      <c r="B21" s="1" t="s">
        <v>121</v>
      </c>
      <c r="C21" s="1" t="s">
        <v>127</v>
      </c>
      <c r="D21" s="1" t="s">
        <v>114</v>
      </c>
      <c r="E21" s="1">
        <v>1023</v>
      </c>
      <c r="F21" s="1">
        <v>652</v>
      </c>
      <c r="G21" s="1">
        <v>441</v>
      </c>
      <c r="H21" s="1">
        <v>98</v>
      </c>
      <c r="I21" s="2"/>
      <c r="J21" s="2">
        <v>0.28000000000000003</v>
      </c>
      <c r="K21" s="2" t="s">
        <v>18</v>
      </c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104</v>
      </c>
      <c r="Y21" s="2"/>
      <c r="Z21" s="1" t="str">
        <f>[1]Tags!$A$9</f>
        <v>SP-Unfriendly</v>
      </c>
      <c r="AA21" s="1"/>
      <c r="AB21" s="1"/>
      <c r="AC21" s="1"/>
      <c r="AD21" s="1" t="str">
        <f>[1]Tags!$A$17</f>
        <v>DPS</v>
      </c>
      <c r="AE21" s="1"/>
      <c r="AF21" s="1" t="str">
        <f>[1]Tags!$A$26</f>
        <v>ATK-Scaller</v>
      </c>
      <c r="AG21" s="1"/>
      <c r="AH21" s="1"/>
      <c r="AI21" s="1"/>
      <c r="AJ21" s="1"/>
    </row>
    <row r="22" spans="1:36" x14ac:dyDescent="0.25">
      <c r="A22" s="1" t="s">
        <v>42</v>
      </c>
      <c r="B22" s="1" t="s">
        <v>126</v>
      </c>
      <c r="C22" s="1" t="s">
        <v>125</v>
      </c>
      <c r="D22" s="1" t="s">
        <v>114</v>
      </c>
      <c r="E22" s="1">
        <v>846</v>
      </c>
      <c r="F22" s="1">
        <v>529</v>
      </c>
      <c r="G22" s="1">
        <v>396</v>
      </c>
      <c r="H22" s="1">
        <v>112</v>
      </c>
      <c r="I22" s="2"/>
      <c r="J22" s="2">
        <v>0.28000000000000003</v>
      </c>
      <c r="K22" s="2" t="s">
        <v>19</v>
      </c>
      <c r="L22" s="3"/>
      <c r="M22" s="2"/>
      <c r="N22" s="2"/>
      <c r="O22" s="2"/>
      <c r="P22" s="2"/>
      <c r="Q22" s="2"/>
      <c r="R22" s="2"/>
      <c r="S22" s="2"/>
      <c r="T22" s="2"/>
      <c r="U22" s="2"/>
      <c r="V22" s="2">
        <v>0.08</v>
      </c>
      <c r="W22" s="2"/>
      <c r="X22" s="2"/>
      <c r="Y22" s="2"/>
      <c r="Z22" s="1" t="str">
        <f>[1]Tags!$A$3</f>
        <v>Buff</v>
      </c>
      <c r="AA22" s="1" t="str">
        <f>[1]Tags!$A$5</f>
        <v>Energy</v>
      </c>
      <c r="AB22" s="1"/>
      <c r="AC22" s="1"/>
      <c r="AD22" s="1" t="str">
        <f>[1]Tags!$A$19</f>
        <v>Amplifier</v>
      </c>
      <c r="AE22" s="1"/>
      <c r="AF22" s="1" t="str">
        <f>[1]Tags!$A$26</f>
        <v>ATK-Scaller</v>
      </c>
      <c r="AG22" s="1"/>
      <c r="AH22" s="1"/>
      <c r="AI22" s="1"/>
      <c r="AJ22" s="1"/>
    </row>
    <row r="23" spans="1:36" x14ac:dyDescent="0.25">
      <c r="A23" s="1" t="s">
        <v>43</v>
      </c>
      <c r="B23" s="1" t="s">
        <v>121</v>
      </c>
      <c r="C23" s="1" t="s">
        <v>125</v>
      </c>
      <c r="D23" s="1" t="s">
        <v>113</v>
      </c>
      <c r="E23" s="1">
        <v>1164</v>
      </c>
      <c r="F23" s="1">
        <v>698</v>
      </c>
      <c r="G23" s="1">
        <v>485</v>
      </c>
      <c r="H23" s="1">
        <v>99</v>
      </c>
      <c r="I23" s="2"/>
      <c r="J23" s="2">
        <v>0.28000000000000003</v>
      </c>
      <c r="K23" s="2" t="s">
        <v>18</v>
      </c>
      <c r="L23" s="3"/>
      <c r="M23" s="2">
        <v>0.12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1"/>
      <c r="AA23" s="1"/>
      <c r="AB23" s="1"/>
      <c r="AC23" s="1"/>
      <c r="AD23" s="1" t="str">
        <f>[1]Tags!$A$17</f>
        <v>DPS</v>
      </c>
      <c r="AE23" s="1"/>
      <c r="AF23" s="1" t="str">
        <f>[1]Tags!$A$26</f>
        <v>ATK-Scaller</v>
      </c>
      <c r="AG23" s="1"/>
      <c r="AH23" s="1"/>
      <c r="AI23" s="1"/>
      <c r="AJ23" s="1"/>
    </row>
    <row r="24" spans="1:36" x14ac:dyDescent="0.25">
      <c r="A24" s="1" t="s">
        <v>111</v>
      </c>
      <c r="B24" s="1" t="s">
        <v>119</v>
      </c>
      <c r="C24" s="1" t="s">
        <v>117</v>
      </c>
      <c r="D24" s="1" t="s">
        <v>114</v>
      </c>
      <c r="E24" s="1">
        <v>917</v>
      </c>
      <c r="F24" s="1">
        <v>564</v>
      </c>
      <c r="G24" s="1">
        <v>418</v>
      </c>
      <c r="H24" s="1">
        <v>107</v>
      </c>
      <c r="I24" s="2">
        <v>0.18</v>
      </c>
      <c r="J24" s="2">
        <v>0.28000000000000003</v>
      </c>
      <c r="K24" s="2" t="s">
        <v>18</v>
      </c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1" t="str">
        <f>[1]Tags!$A$2</f>
        <v>Advance</v>
      </c>
      <c r="AA24" s="1" t="str">
        <f>[1]Tags!$A$12</f>
        <v>Break</v>
      </c>
      <c r="AB24" s="1"/>
      <c r="AC24" s="1"/>
      <c r="AD24" s="1" t="str">
        <f>[1]Tags!$A$17</f>
        <v>DPS</v>
      </c>
      <c r="AE24" s="1"/>
      <c r="AF24" s="1" t="str">
        <f>[1]Tags!$A$26</f>
        <v>ATK-Scaller</v>
      </c>
      <c r="AG24" s="1"/>
      <c r="AH24" s="1"/>
      <c r="AI24" s="1"/>
      <c r="AJ24" s="1"/>
    </row>
    <row r="25" spans="1:36" x14ac:dyDescent="0.25">
      <c r="A25" s="1" t="s">
        <v>44</v>
      </c>
      <c r="B25" s="1" t="s">
        <v>119</v>
      </c>
      <c r="C25" s="1" t="s">
        <v>118</v>
      </c>
      <c r="D25" s="1" t="s">
        <v>113</v>
      </c>
      <c r="E25" s="1">
        <v>892</v>
      </c>
      <c r="F25" s="1">
        <v>679</v>
      </c>
      <c r="G25" s="1">
        <v>412</v>
      </c>
      <c r="H25" s="1">
        <v>109</v>
      </c>
      <c r="I25" s="2">
        <v>0.1</v>
      </c>
      <c r="J25" s="2">
        <v>0.28000000000000003</v>
      </c>
      <c r="K25" s="2"/>
      <c r="L25" s="3"/>
      <c r="M25" s="2"/>
      <c r="N25" s="2"/>
      <c r="O25" s="2"/>
      <c r="P25" s="2"/>
      <c r="Q25" s="2"/>
      <c r="R25" s="2"/>
      <c r="S25" s="2"/>
      <c r="T25" s="2"/>
      <c r="U25" s="2" t="s">
        <v>104</v>
      </c>
      <c r="V25" s="2"/>
      <c r="W25" s="2"/>
      <c r="X25" s="2"/>
      <c r="Y25" s="2"/>
      <c r="Z25" s="1"/>
      <c r="AA25" s="1"/>
      <c r="AB25" s="1"/>
      <c r="AC25" s="1"/>
      <c r="AD25" s="1" t="str">
        <f>[1]Tags!$A$17</f>
        <v>DPS</v>
      </c>
      <c r="AE25" s="1"/>
      <c r="AF25" s="1" t="str">
        <f>[1]Tags!$A$26</f>
        <v>ATK-Scaller</v>
      </c>
      <c r="AG25" s="1"/>
      <c r="AH25" s="1"/>
      <c r="AI25" s="1"/>
      <c r="AJ25" s="1"/>
    </row>
    <row r="26" spans="1:36" x14ac:dyDescent="0.25">
      <c r="A26" s="1" t="s">
        <v>45</v>
      </c>
      <c r="B26" s="1" t="s">
        <v>128</v>
      </c>
      <c r="C26" s="1" t="s">
        <v>125</v>
      </c>
      <c r="D26" s="1" t="s">
        <v>113</v>
      </c>
      <c r="E26" s="1">
        <v>1319</v>
      </c>
      <c r="F26" s="1">
        <v>562</v>
      </c>
      <c r="G26" s="1">
        <v>485</v>
      </c>
      <c r="H26" s="1">
        <v>98</v>
      </c>
      <c r="I26" s="2">
        <v>0.28000000000000003</v>
      </c>
      <c r="J26" s="2"/>
      <c r="K26" s="2" t="s">
        <v>19</v>
      </c>
      <c r="L26" s="3"/>
      <c r="M26" s="2"/>
      <c r="N26" s="2"/>
      <c r="O26" s="2"/>
      <c r="P26" s="2"/>
      <c r="Q26" s="2"/>
      <c r="R26" s="2" t="s">
        <v>19</v>
      </c>
      <c r="S26" s="2"/>
      <c r="T26" s="2"/>
      <c r="U26" s="2"/>
      <c r="V26" s="2"/>
      <c r="W26" s="2"/>
      <c r="X26" s="2"/>
      <c r="Y26" s="2"/>
      <c r="Z26" s="1"/>
      <c r="AA26" s="1"/>
      <c r="AB26" s="1"/>
      <c r="AC26" s="1"/>
      <c r="AD26" s="1" t="str">
        <f>[1]Tags!$A$20</f>
        <v>Sustain</v>
      </c>
      <c r="AE26" s="1"/>
      <c r="AF26" s="1" t="str">
        <f>[1]Tags!$A$23</f>
        <v>HP-Scaller</v>
      </c>
      <c r="AG26" s="1"/>
      <c r="AH26" s="1"/>
      <c r="AI26" s="1"/>
      <c r="AJ26" s="1"/>
    </row>
    <row r="27" spans="1:36" x14ac:dyDescent="0.25">
      <c r="A27" s="1" t="s">
        <v>46</v>
      </c>
      <c r="B27" s="1" t="s">
        <v>123</v>
      </c>
      <c r="C27" s="1" t="s">
        <v>127</v>
      </c>
      <c r="D27" s="1" t="s">
        <v>113</v>
      </c>
      <c r="E27" s="1">
        <v>1047</v>
      </c>
      <c r="F27" s="1">
        <v>640</v>
      </c>
      <c r="G27" s="1">
        <v>460</v>
      </c>
      <c r="H27" s="1">
        <v>107</v>
      </c>
      <c r="I27" s="2"/>
      <c r="J27" s="2">
        <v>0.28000000000000003</v>
      </c>
      <c r="K27" s="2"/>
      <c r="L27" s="3"/>
      <c r="M27" s="2"/>
      <c r="N27" s="2"/>
      <c r="O27" s="2"/>
      <c r="P27" s="2"/>
      <c r="Q27" s="2">
        <v>0.18</v>
      </c>
      <c r="R27" s="2"/>
      <c r="S27" s="2"/>
      <c r="T27" s="2"/>
      <c r="U27" s="2"/>
      <c r="V27" s="2"/>
      <c r="W27" s="2"/>
      <c r="X27" s="2">
        <v>0.08</v>
      </c>
      <c r="Y27" s="2"/>
      <c r="Z27" s="1" t="str">
        <f>[1]Tags!$A$13</f>
        <v>Debuff</v>
      </c>
      <c r="AA27" s="1"/>
      <c r="AB27" s="1"/>
      <c r="AC27" s="1"/>
      <c r="AD27" s="1" t="str">
        <f>[1]Tags!$A$19</f>
        <v>Amplifier</v>
      </c>
      <c r="AE27" s="1"/>
      <c r="AF27" s="1" t="str">
        <f>[1]Tags!$A$32</f>
        <v>HighSpeed</v>
      </c>
      <c r="AG27" s="1"/>
      <c r="AH27" s="1"/>
      <c r="AI27" s="1"/>
      <c r="AJ27" s="1"/>
    </row>
    <row r="28" spans="1:36" x14ac:dyDescent="0.25">
      <c r="A28" s="1" t="s">
        <v>47</v>
      </c>
      <c r="B28" s="1" t="s">
        <v>128</v>
      </c>
      <c r="C28" s="1" t="s">
        <v>124</v>
      </c>
      <c r="D28" s="1" t="s">
        <v>113</v>
      </c>
      <c r="E28" s="1">
        <v>1280</v>
      </c>
      <c r="F28" s="1">
        <v>756</v>
      </c>
      <c r="G28" s="1">
        <v>363</v>
      </c>
      <c r="H28" s="1">
        <v>101</v>
      </c>
      <c r="I28" s="2">
        <v>0.18</v>
      </c>
      <c r="J28" s="2">
        <v>0.28000000000000003</v>
      </c>
      <c r="K28" s="2" t="s">
        <v>18</v>
      </c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1" t="str">
        <f>[1]Tags!$A$6</f>
        <v>SP-Friendly</v>
      </c>
      <c r="AA28" s="1"/>
      <c r="AB28" s="1"/>
      <c r="AC28" s="1"/>
      <c r="AD28" s="1" t="str">
        <f>[1]Tags!$A$20</f>
        <v>Sustain</v>
      </c>
      <c r="AE28" s="1"/>
      <c r="AF28" s="1" t="str">
        <f>[1]Tags!$A$26</f>
        <v>ATK-Scaller</v>
      </c>
      <c r="AG28" s="1"/>
      <c r="AH28" s="1"/>
      <c r="AI28" s="1"/>
      <c r="AJ28" s="1"/>
    </row>
    <row r="29" spans="1:36" x14ac:dyDescent="0.25">
      <c r="A29" s="1" t="s">
        <v>48</v>
      </c>
      <c r="B29" s="1" t="s">
        <v>126</v>
      </c>
      <c r="C29" s="1" t="s">
        <v>124</v>
      </c>
      <c r="D29" s="1" t="s">
        <v>114</v>
      </c>
      <c r="E29" s="1">
        <v>917</v>
      </c>
      <c r="F29" s="1">
        <v>599</v>
      </c>
      <c r="G29" s="1">
        <v>374</v>
      </c>
      <c r="H29" s="1">
        <v>107</v>
      </c>
      <c r="I29" s="2">
        <v>0.1</v>
      </c>
      <c r="J29" s="2">
        <v>0.18</v>
      </c>
      <c r="K29" s="2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 t="s">
        <v>27</v>
      </c>
      <c r="Z29" s="1" t="str">
        <f>[1]Tags!$A$3</f>
        <v>Buff</v>
      </c>
      <c r="AA29" s="1"/>
      <c r="AB29" s="1"/>
      <c r="AC29" s="1"/>
      <c r="AD29" s="1" t="str">
        <f>[1]Tags!$A$19</f>
        <v>Amplifier</v>
      </c>
      <c r="AE29" s="1"/>
      <c r="AF29" s="1" t="s">
        <v>133</v>
      </c>
      <c r="AG29" s="1"/>
      <c r="AH29" s="1"/>
      <c r="AI29" s="1"/>
      <c r="AJ29" s="1"/>
    </row>
    <row r="30" spans="1:36" x14ac:dyDescent="0.25">
      <c r="A30" s="1" t="s">
        <v>49</v>
      </c>
      <c r="B30" s="1" t="s">
        <v>115</v>
      </c>
      <c r="C30" s="1" t="s">
        <v>120</v>
      </c>
      <c r="D30" s="1" t="s">
        <v>113</v>
      </c>
      <c r="E30" s="1">
        <v>1358</v>
      </c>
      <c r="F30" s="1">
        <v>543</v>
      </c>
      <c r="G30" s="1">
        <v>485</v>
      </c>
      <c r="H30" s="1">
        <v>97</v>
      </c>
      <c r="I30" s="2">
        <v>0.28000000000000003</v>
      </c>
      <c r="J30" s="2"/>
      <c r="K30" s="2"/>
      <c r="L30" s="3"/>
      <c r="M30" s="2">
        <v>0.12</v>
      </c>
      <c r="N30" s="2"/>
      <c r="O30" s="2"/>
      <c r="P30" s="2"/>
      <c r="Q30" s="2"/>
      <c r="R30" s="2">
        <v>0.1</v>
      </c>
      <c r="S30" s="2"/>
      <c r="T30" s="2"/>
      <c r="U30" s="2"/>
      <c r="V30" s="2"/>
      <c r="W30" s="2"/>
      <c r="X30" s="2"/>
      <c r="Y30" s="2"/>
      <c r="Z30" s="1" t="str">
        <f>[1]Tags!$A$6</f>
        <v>SP-Friendly</v>
      </c>
      <c r="AA30" s="1"/>
      <c r="AB30" s="1"/>
      <c r="AC30" s="1"/>
      <c r="AD30" s="1" t="str">
        <f>[1]Tags!$A$17</f>
        <v>DPS</v>
      </c>
      <c r="AE30" s="1" t="str">
        <f>[1]Tags!$A$18</f>
        <v>Support-DPS</v>
      </c>
      <c r="AF30" s="1" t="str">
        <f>[1]Tags!$A$23</f>
        <v>HP-Scaller</v>
      </c>
      <c r="AG30" s="1"/>
      <c r="AH30" s="1"/>
      <c r="AI30" s="1"/>
      <c r="AJ30" s="1"/>
    </row>
    <row r="31" spans="1:36" x14ac:dyDescent="0.25">
      <c r="A31" s="1" t="s">
        <v>50</v>
      </c>
      <c r="B31" s="1" t="s">
        <v>123</v>
      </c>
      <c r="C31" s="1" t="s">
        <v>125</v>
      </c>
      <c r="D31" s="1" t="s">
        <v>113</v>
      </c>
      <c r="E31" s="1">
        <v>1086</v>
      </c>
      <c r="F31" s="1">
        <v>679</v>
      </c>
      <c r="G31" s="1">
        <v>485</v>
      </c>
      <c r="H31" s="1">
        <v>100</v>
      </c>
      <c r="I31" s="2">
        <v>0.1</v>
      </c>
      <c r="J31" s="2">
        <v>0.28000000000000003</v>
      </c>
      <c r="K31" s="2"/>
      <c r="L31" s="3"/>
      <c r="M31" s="2"/>
      <c r="N31" s="2"/>
      <c r="O31" s="2"/>
      <c r="P31" s="2"/>
      <c r="Q31" s="2">
        <v>0.18</v>
      </c>
      <c r="R31" s="2"/>
      <c r="S31" s="2"/>
      <c r="T31" s="2"/>
      <c r="U31" s="2"/>
      <c r="V31" s="2"/>
      <c r="W31" s="2"/>
      <c r="X31" s="2"/>
      <c r="Y31" s="2"/>
      <c r="Z31" s="1" t="str">
        <f>[1]Tags!$A$14</f>
        <v>DoT</v>
      </c>
      <c r="AA31" s="1"/>
      <c r="AB31" s="1"/>
      <c r="AC31" s="1"/>
      <c r="AD31" s="1" t="str">
        <f>[1]Tags!$A$18</f>
        <v>Support-DPS</v>
      </c>
      <c r="AE31" s="1"/>
      <c r="AF31" s="1" t="str">
        <f>[1]Tags!$A$26</f>
        <v>ATK-Scaller</v>
      </c>
      <c r="AG31" s="1" t="str">
        <f>[1]Tags!$A$32</f>
        <v>HighSpeed</v>
      </c>
      <c r="AH31" s="1" t="str">
        <f>[1]Tags!$A$35</f>
        <v>LowEnergy</v>
      </c>
      <c r="AI31" s="1"/>
      <c r="AJ31" s="1"/>
    </row>
    <row r="32" spans="1:36" x14ac:dyDescent="0.25">
      <c r="A32" s="1" t="s">
        <v>51</v>
      </c>
      <c r="B32" s="1" t="s">
        <v>123</v>
      </c>
      <c r="C32" s="1" t="s">
        <v>117</v>
      </c>
      <c r="D32" s="1" t="s">
        <v>114</v>
      </c>
      <c r="E32" s="1">
        <v>917</v>
      </c>
      <c r="F32" s="1">
        <v>582</v>
      </c>
      <c r="G32" s="1">
        <v>485</v>
      </c>
      <c r="H32" s="1">
        <v>103</v>
      </c>
      <c r="I32" s="2"/>
      <c r="J32" s="2">
        <v>0.28000000000000003</v>
      </c>
      <c r="K32" s="2" t="s">
        <v>18</v>
      </c>
      <c r="L32" s="3"/>
      <c r="M32" s="2"/>
      <c r="N32" s="2"/>
      <c r="O32" s="2"/>
      <c r="P32" s="2"/>
      <c r="Q32" s="2">
        <v>0.18</v>
      </c>
      <c r="R32" s="2"/>
      <c r="S32" s="2"/>
      <c r="T32" s="2"/>
      <c r="U32" s="2"/>
      <c r="V32" s="2"/>
      <c r="W32" s="2"/>
      <c r="X32" s="2"/>
      <c r="Y32" s="2"/>
      <c r="Z32" s="1" t="str">
        <f>[1]Tags!$A$12</f>
        <v>Break</v>
      </c>
      <c r="AA32" s="1" t="str">
        <f>[1]Tags!$A$13</f>
        <v>Debuff</v>
      </c>
      <c r="AB32" s="1"/>
      <c r="AC32" s="1"/>
      <c r="AD32" s="1" t="str">
        <f>[1]Tags!$A$17</f>
        <v>DPS</v>
      </c>
      <c r="AE32" s="1"/>
      <c r="AF32" s="1" t="str">
        <f>[1]Tags!$A$26</f>
        <v>ATK-Scaller</v>
      </c>
      <c r="AG32" s="1"/>
      <c r="AH32" s="1"/>
      <c r="AI32" s="1"/>
      <c r="AJ32" s="1"/>
    </row>
    <row r="33" spans="1:36" x14ac:dyDescent="0.25">
      <c r="A33" s="1" t="s">
        <v>52</v>
      </c>
      <c r="B33" s="1" t="s">
        <v>116</v>
      </c>
      <c r="C33" s="1" t="s">
        <v>127</v>
      </c>
      <c r="D33" s="1" t="s">
        <v>113</v>
      </c>
      <c r="E33" s="1">
        <v>1474</v>
      </c>
      <c r="F33" s="1">
        <v>465</v>
      </c>
      <c r="G33" s="1">
        <v>606</v>
      </c>
      <c r="H33" s="1">
        <v>100</v>
      </c>
      <c r="I33" s="2">
        <v>0.18</v>
      </c>
      <c r="J33" s="2"/>
      <c r="K33" s="2"/>
      <c r="L33" s="3"/>
      <c r="M33" s="2" t="s">
        <v>109</v>
      </c>
      <c r="N33" s="2"/>
      <c r="O33" s="2"/>
      <c r="P33" s="2"/>
      <c r="Q33" s="2"/>
      <c r="R33" s="2">
        <v>0.1</v>
      </c>
      <c r="S33" s="2"/>
      <c r="T33" s="2"/>
      <c r="U33" s="2"/>
      <c r="V33" s="2"/>
      <c r="W33" s="2"/>
      <c r="X33" s="2"/>
      <c r="Y33" s="2"/>
      <c r="Z33" s="1" t="str">
        <f>[1]Tags!$A$3</f>
        <v>Buff</v>
      </c>
      <c r="AA33" s="1"/>
      <c r="AB33" s="1"/>
      <c r="AC33" s="1"/>
      <c r="AD33" s="1" t="str">
        <f>[1]Tags!$A$20</f>
        <v>Sustain</v>
      </c>
      <c r="AE33" s="1"/>
      <c r="AF33" s="1" t="str">
        <f>[1]Tags!$A$23</f>
        <v>HP-Scaller</v>
      </c>
      <c r="AG33" s="1"/>
      <c r="AH33" s="1"/>
      <c r="AI33" s="1"/>
      <c r="AJ33" s="1"/>
    </row>
    <row r="34" spans="1:36" x14ac:dyDescent="0.25">
      <c r="A34" s="1" t="s">
        <v>53</v>
      </c>
      <c r="B34" s="1" t="s">
        <v>115</v>
      </c>
      <c r="C34" s="1" t="s">
        <v>124</v>
      </c>
      <c r="D34" s="1" t="s">
        <v>113</v>
      </c>
      <c r="E34" s="1">
        <v>1241</v>
      </c>
      <c r="F34" s="1">
        <v>698</v>
      </c>
      <c r="G34" s="1">
        <v>363</v>
      </c>
      <c r="H34" s="1">
        <v>102</v>
      </c>
      <c r="I34" s="2">
        <v>0.1</v>
      </c>
      <c r="J34" s="2"/>
      <c r="K34" s="2"/>
      <c r="L34" s="3"/>
      <c r="M34" s="2">
        <v>0.12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 t="s">
        <v>27</v>
      </c>
      <c r="Z34" s="1" t="str">
        <f>[1]Tags!$A$9</f>
        <v>SP-Unfriendly</v>
      </c>
      <c r="AA34" s="1"/>
      <c r="AB34" s="1"/>
      <c r="AC34" s="1"/>
      <c r="AD34" s="1" t="str">
        <f>[1]Tags!$A$17</f>
        <v>DPS</v>
      </c>
      <c r="AE34" s="1"/>
      <c r="AF34" s="1" t="str">
        <f>[1]Tags!$A$26</f>
        <v>ATK-Scaller</v>
      </c>
      <c r="AG34" s="1"/>
      <c r="AH34" s="1"/>
      <c r="AI34" s="1"/>
      <c r="AJ34" s="1"/>
    </row>
    <row r="35" spans="1:36" x14ac:dyDescent="0.25">
      <c r="A35" s="1" t="s">
        <v>54</v>
      </c>
      <c r="B35" s="1" t="s">
        <v>128</v>
      </c>
      <c r="C35" s="1" t="s">
        <v>127</v>
      </c>
      <c r="D35" s="1" t="s">
        <v>114</v>
      </c>
      <c r="E35" s="1">
        <v>1058</v>
      </c>
      <c r="F35" s="1">
        <v>493</v>
      </c>
      <c r="G35" s="1">
        <v>551</v>
      </c>
      <c r="H35" s="1">
        <v>100</v>
      </c>
      <c r="I35" s="2">
        <v>0.28000000000000003</v>
      </c>
      <c r="J35" s="2"/>
      <c r="K35" s="2" t="s">
        <v>19</v>
      </c>
      <c r="L35" s="3"/>
      <c r="M35" s="2"/>
      <c r="N35" s="2"/>
      <c r="O35" s="2"/>
      <c r="P35" s="2"/>
      <c r="Q35" s="2"/>
      <c r="R35" s="2">
        <v>0.1</v>
      </c>
      <c r="S35" s="2"/>
      <c r="T35" s="2"/>
      <c r="U35" s="2"/>
      <c r="V35" s="2"/>
      <c r="W35" s="2"/>
      <c r="X35" s="2"/>
      <c r="Y35" s="2"/>
      <c r="Z35" s="1"/>
      <c r="AA35" s="1"/>
      <c r="AB35" s="1"/>
      <c r="AC35" s="1"/>
      <c r="AD35" s="1" t="str">
        <f>[1]Tags!$A$20</f>
        <v>Sustain</v>
      </c>
      <c r="AE35" s="1"/>
      <c r="AF35" s="1" t="str">
        <f>[1]Tags!$A$23</f>
        <v>HP-Scaller</v>
      </c>
      <c r="AG35" s="1"/>
      <c r="AH35" s="1"/>
      <c r="AI35" s="1"/>
      <c r="AJ35" s="1"/>
    </row>
    <row r="36" spans="1:36" x14ac:dyDescent="0.25">
      <c r="A36" s="1" t="s">
        <v>55</v>
      </c>
      <c r="B36" s="1" t="s">
        <v>115</v>
      </c>
      <c r="C36" s="1" t="s">
        <v>118</v>
      </c>
      <c r="D36" s="1" t="s">
        <v>113</v>
      </c>
      <c r="E36" s="1">
        <v>1435</v>
      </c>
      <c r="F36" s="1">
        <v>679</v>
      </c>
      <c r="G36" s="1">
        <v>485</v>
      </c>
      <c r="H36" s="1">
        <v>96</v>
      </c>
      <c r="I36" s="2">
        <v>0.1</v>
      </c>
      <c r="J36" s="2"/>
      <c r="K36" s="2"/>
      <c r="L36" s="3">
        <v>9</v>
      </c>
      <c r="M36" s="2"/>
      <c r="N36" s="2" t="s">
        <v>112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1" t="str">
        <f>[1]Tags!$A$6</f>
        <v>SP-Friendly</v>
      </c>
      <c r="AA36" s="1"/>
      <c r="AB36" s="1"/>
      <c r="AC36" s="1"/>
      <c r="AD36" s="1" t="str">
        <f>[1]Tags!$A$17</f>
        <v>DPS</v>
      </c>
      <c r="AE36" s="1"/>
      <c r="AF36" s="1" t="str">
        <f>[1]Tags!$A$23</f>
        <v>HP-Scaller</v>
      </c>
      <c r="AG36" s="1"/>
      <c r="AH36" s="1"/>
      <c r="AI36" s="1"/>
      <c r="AJ36" s="1"/>
    </row>
    <row r="37" spans="1:36" x14ac:dyDescent="0.25">
      <c r="A37" s="1" t="s">
        <v>56</v>
      </c>
      <c r="B37" s="1" t="s">
        <v>119</v>
      </c>
      <c r="C37" s="1" t="s">
        <v>122</v>
      </c>
      <c r="D37" s="1" t="s">
        <v>113</v>
      </c>
      <c r="E37" s="1">
        <v>931</v>
      </c>
      <c r="F37" s="1">
        <v>620</v>
      </c>
      <c r="G37" s="1">
        <v>412</v>
      </c>
      <c r="H37" s="1">
        <v>110</v>
      </c>
      <c r="I37" s="2">
        <v>0.1</v>
      </c>
      <c r="J37" s="2"/>
      <c r="K37" s="2"/>
      <c r="L37" s="3"/>
      <c r="M37" s="2">
        <v>0.12</v>
      </c>
      <c r="N37" s="2"/>
      <c r="O37" s="2"/>
      <c r="P37" s="2"/>
      <c r="Q37" s="2"/>
      <c r="R37" s="2"/>
      <c r="S37" s="2"/>
      <c r="T37" s="2" t="s">
        <v>27</v>
      </c>
      <c r="U37" s="2"/>
      <c r="V37" s="2"/>
      <c r="W37" s="2"/>
      <c r="X37" s="2"/>
      <c r="Y37" s="2"/>
      <c r="Z37" s="1" t="str">
        <f>[1]Tags!$A$13</f>
        <v>Debuff</v>
      </c>
      <c r="AA37" s="1"/>
      <c r="AB37" s="1"/>
      <c r="AC37" s="1"/>
      <c r="AD37" s="1" t="str">
        <f>[1]Tags!$A$18</f>
        <v>Support-DPS</v>
      </c>
      <c r="AE37" s="1"/>
      <c r="AF37" s="1" t="str">
        <f>[1]Tags!$A$26</f>
        <v>ATK-Scaller</v>
      </c>
      <c r="AG37" s="1"/>
      <c r="AH37" s="1"/>
      <c r="AI37" s="1"/>
      <c r="AJ37" s="1"/>
    </row>
    <row r="38" spans="1:36" x14ac:dyDescent="0.25">
      <c r="A38" s="1" t="s">
        <v>57</v>
      </c>
      <c r="B38" s="1" t="s">
        <v>123</v>
      </c>
      <c r="C38" s="1" t="s">
        <v>122</v>
      </c>
      <c r="D38" s="1" t="s">
        <v>114</v>
      </c>
      <c r="E38" s="1">
        <v>882</v>
      </c>
      <c r="F38" s="1">
        <v>582</v>
      </c>
      <c r="G38" s="1">
        <v>441</v>
      </c>
      <c r="H38" s="1">
        <v>106</v>
      </c>
      <c r="I38" s="2"/>
      <c r="J38" s="2"/>
      <c r="K38" s="2"/>
      <c r="L38" s="3"/>
      <c r="M38" s="2"/>
      <c r="N38" s="2"/>
      <c r="O38" s="2">
        <v>0.24</v>
      </c>
      <c r="P38" s="2"/>
      <c r="Q38" s="2">
        <v>0.1</v>
      </c>
      <c r="R38" s="2"/>
      <c r="S38" s="2"/>
      <c r="T38" s="2" t="s">
        <v>27</v>
      </c>
      <c r="U38" s="2"/>
      <c r="V38" s="2"/>
      <c r="W38" s="2"/>
      <c r="X38" s="2"/>
      <c r="Y38" s="2"/>
      <c r="Z38" s="1" t="str">
        <f>[1]Tags!$A$13</f>
        <v>Debuff</v>
      </c>
      <c r="AA38" s="1" t="str">
        <f>[1]Tags!$A$14</f>
        <v>DoT</v>
      </c>
      <c r="AB38" s="1"/>
      <c r="AC38" s="1"/>
      <c r="AD38" s="1" t="str">
        <f>[1]Tags!$A$19</f>
        <v>Amplifier</v>
      </c>
      <c r="AE38" s="1"/>
      <c r="AF38" s="1" t="str">
        <f>[1]Tags!$A$26</f>
        <v>ATK-Scaller</v>
      </c>
      <c r="AG38" s="1"/>
      <c r="AH38" s="1"/>
      <c r="AI38" s="1"/>
      <c r="AJ38" s="1"/>
    </row>
    <row r="39" spans="1:36" x14ac:dyDescent="0.25">
      <c r="A39" s="1" t="s">
        <v>58</v>
      </c>
      <c r="B39" s="1" t="s">
        <v>128</v>
      </c>
      <c r="C39" s="1" t="s">
        <v>120</v>
      </c>
      <c r="D39" s="1" t="s">
        <v>113</v>
      </c>
      <c r="E39" s="1">
        <v>1358</v>
      </c>
      <c r="F39" s="1">
        <v>601</v>
      </c>
      <c r="G39" s="1">
        <v>509</v>
      </c>
      <c r="H39" s="1">
        <v>98</v>
      </c>
      <c r="I39" s="2">
        <v>0.28000000000000003</v>
      </c>
      <c r="J39" s="2"/>
      <c r="K39" s="2"/>
      <c r="L39" s="3">
        <v>5</v>
      </c>
      <c r="M39" s="2"/>
      <c r="N39" s="2"/>
      <c r="O39" s="2"/>
      <c r="P39" s="2"/>
      <c r="Q39" s="2"/>
      <c r="R39" s="2">
        <v>0.18</v>
      </c>
      <c r="S39" s="2"/>
      <c r="T39" s="2"/>
      <c r="U39" s="2"/>
      <c r="V39" s="2"/>
      <c r="W39" s="2"/>
      <c r="X39" s="2"/>
      <c r="Y39" s="2"/>
      <c r="Z39" s="1" t="str">
        <f>[1]Tags!$A$3</f>
        <v>Buff</v>
      </c>
      <c r="AA39" s="1" t="str">
        <f>[1]Tags!$A$5</f>
        <v>Energy</v>
      </c>
      <c r="AB39" s="1"/>
      <c r="AC39" s="1"/>
      <c r="AD39" s="1" t="str">
        <f>[1]Tags!$A$20</f>
        <v>Sustain</v>
      </c>
      <c r="AE39" s="1"/>
      <c r="AF39" s="1" t="str">
        <f>[1]Tags!$A$23</f>
        <v>HP-Scaller</v>
      </c>
      <c r="AG39" s="1"/>
      <c r="AH39" s="1"/>
      <c r="AI39" s="1"/>
      <c r="AJ39" s="1"/>
    </row>
    <row r="40" spans="1:36" x14ac:dyDescent="0.25">
      <c r="A40" s="1" t="s">
        <v>59</v>
      </c>
      <c r="B40" s="1" t="s">
        <v>121</v>
      </c>
      <c r="C40" s="1" t="s">
        <v>117</v>
      </c>
      <c r="D40" s="1" t="s">
        <v>113</v>
      </c>
      <c r="E40" s="1">
        <v>1047</v>
      </c>
      <c r="F40" s="1">
        <v>737</v>
      </c>
      <c r="G40" s="1">
        <v>363</v>
      </c>
      <c r="H40" s="1">
        <v>103</v>
      </c>
      <c r="I40" s="2">
        <v>0.1</v>
      </c>
      <c r="J40" s="2">
        <v>0.28000000000000003</v>
      </c>
      <c r="K40" s="2"/>
      <c r="L40" s="3"/>
      <c r="M40" s="2"/>
      <c r="N40" s="2"/>
      <c r="O40" s="2"/>
      <c r="P40" s="2"/>
      <c r="Q40" s="2"/>
      <c r="R40" s="2"/>
      <c r="S40" s="2" t="s">
        <v>104</v>
      </c>
      <c r="T40" s="2"/>
      <c r="U40" s="2"/>
      <c r="V40" s="2"/>
      <c r="W40" s="2"/>
      <c r="X40" s="2"/>
      <c r="Y40" s="2"/>
      <c r="Z40" s="1"/>
      <c r="AA40" s="1"/>
      <c r="AB40" s="1"/>
      <c r="AC40" s="1"/>
      <c r="AD40" s="1" t="str">
        <f>[1]Tags!$A$17</f>
        <v>DPS</v>
      </c>
      <c r="AE40" s="1" t="str">
        <f>[1]Tags!$A$18</f>
        <v>Support-DPS</v>
      </c>
      <c r="AF40" s="1" t="str">
        <f>[1]Tags!$A$26</f>
        <v>ATK-Scaller</v>
      </c>
      <c r="AG40" s="1" t="str">
        <f>[1]Tags!$A$33</f>
        <v>HighEnergy</v>
      </c>
      <c r="AH40" s="1"/>
      <c r="AI40" s="1"/>
      <c r="AJ40" s="1"/>
    </row>
    <row r="41" spans="1:36" x14ac:dyDescent="0.25">
      <c r="A41" s="1" t="s">
        <v>60</v>
      </c>
      <c r="B41" s="1" t="s">
        <v>126</v>
      </c>
      <c r="C41" s="1" t="s">
        <v>117</v>
      </c>
      <c r="D41" s="1" t="s">
        <v>114</v>
      </c>
      <c r="E41" s="1">
        <v>917</v>
      </c>
      <c r="F41" s="1">
        <v>564</v>
      </c>
      <c r="G41" s="1">
        <v>352</v>
      </c>
      <c r="H41" s="1">
        <v>110</v>
      </c>
      <c r="I41" s="2">
        <v>0.1</v>
      </c>
      <c r="J41" s="2">
        <v>0.28000000000000003</v>
      </c>
      <c r="K41" s="2"/>
      <c r="L41" s="3">
        <v>9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1" t="str">
        <f>[1]Tags!$A$3</f>
        <v>Buff</v>
      </c>
      <c r="AA41" s="1"/>
      <c r="AB41" s="1"/>
      <c r="AC41" s="1"/>
      <c r="AD41" s="1" t="str">
        <f>[1]Tags!$A$19</f>
        <v>Amplifier</v>
      </c>
      <c r="AE41" s="1"/>
      <c r="AF41" s="1" t="s">
        <v>134</v>
      </c>
      <c r="AG41" s="1"/>
      <c r="AH41" s="1"/>
      <c r="AI41" s="1"/>
      <c r="AJ41" s="1"/>
    </row>
    <row r="42" spans="1:36" x14ac:dyDescent="0.25">
      <c r="A42" s="1" t="s">
        <v>61</v>
      </c>
      <c r="B42" s="1" t="s">
        <v>126</v>
      </c>
      <c r="C42" s="1" t="s">
        <v>118</v>
      </c>
      <c r="D42" s="1" t="s">
        <v>113</v>
      </c>
      <c r="E42" s="1">
        <v>1086</v>
      </c>
      <c r="F42" s="1">
        <v>659</v>
      </c>
      <c r="G42" s="1">
        <v>485</v>
      </c>
      <c r="H42" s="1">
        <v>104</v>
      </c>
      <c r="I42" s="2"/>
      <c r="J42" s="2"/>
      <c r="K42" s="2" t="s">
        <v>19</v>
      </c>
      <c r="L42" s="3">
        <v>5</v>
      </c>
      <c r="M42" s="2"/>
      <c r="N42" s="2"/>
      <c r="O42" s="2" t="s">
        <v>112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1" t="str">
        <f>[1]Tags!$A$12</f>
        <v>Break</v>
      </c>
      <c r="AA42" s="1" t="str">
        <f>[1]Tags!$A$3</f>
        <v>Buff</v>
      </c>
      <c r="AB42" s="1" t="str">
        <f>[1]Tags!$A$4</f>
        <v>Delay</v>
      </c>
      <c r="AC42" s="1"/>
      <c r="AD42" s="1" t="str">
        <f>[1]Tags!$A$19</f>
        <v>Amplifier</v>
      </c>
      <c r="AE42" s="1"/>
      <c r="AF42" s="1" t="str">
        <f>[1]Tags!$A$27</f>
        <v>Break-Scaller</v>
      </c>
      <c r="AG42" s="1"/>
      <c r="AH42" s="1"/>
      <c r="AI42" s="1"/>
      <c r="AJ42" s="1"/>
    </row>
    <row r="43" spans="1:36" x14ac:dyDescent="0.25">
      <c r="A43" s="1" t="s">
        <v>62</v>
      </c>
      <c r="B43" s="1" t="s">
        <v>119</v>
      </c>
      <c r="C43" s="1" t="s">
        <v>124</v>
      </c>
      <c r="D43" s="1" t="s">
        <v>113</v>
      </c>
      <c r="E43" s="1">
        <v>1047</v>
      </c>
      <c r="F43" s="1">
        <v>776</v>
      </c>
      <c r="G43" s="1">
        <v>460</v>
      </c>
      <c r="H43" s="1">
        <v>103</v>
      </c>
      <c r="I43" s="2"/>
      <c r="J43" s="2">
        <v>0.28000000000000003</v>
      </c>
      <c r="K43" s="2" t="s">
        <v>18</v>
      </c>
      <c r="L43" s="3"/>
      <c r="M43" s="2">
        <v>0.12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1" t="str">
        <f>[1]Tags!$A$13</f>
        <v>Debuff</v>
      </c>
      <c r="AA43" s="1"/>
      <c r="AB43" s="1"/>
      <c r="AC43" s="1"/>
      <c r="AD43" s="1" t="str">
        <f>[1]Tags!$A$17</f>
        <v>DPS</v>
      </c>
      <c r="AE43" s="1"/>
      <c r="AF43" s="1" t="str">
        <f>[1]Tags!$A$26</f>
        <v>ATK-Scaller</v>
      </c>
      <c r="AG43" s="1"/>
      <c r="AH43" s="1"/>
      <c r="AI43" s="1"/>
      <c r="AJ43" s="1"/>
    </row>
    <row r="44" spans="1:36" x14ac:dyDescent="0.25">
      <c r="A44" s="1" t="s">
        <v>63</v>
      </c>
      <c r="B44" s="1" t="s">
        <v>115</v>
      </c>
      <c r="C44" s="1" t="s">
        <v>127</v>
      </c>
      <c r="D44" s="1" t="s">
        <v>114</v>
      </c>
      <c r="E44" s="1">
        <v>1058</v>
      </c>
      <c r="F44" s="1">
        <v>599</v>
      </c>
      <c r="G44" s="1">
        <v>396</v>
      </c>
      <c r="H44" s="1">
        <v>103</v>
      </c>
      <c r="I44" s="2">
        <v>0.18</v>
      </c>
      <c r="J44" s="2"/>
      <c r="K44" s="2"/>
      <c r="L44" s="3"/>
      <c r="M44" s="2"/>
      <c r="N44" s="2"/>
      <c r="O44" s="2" t="s">
        <v>112</v>
      </c>
      <c r="P44" s="2"/>
      <c r="Q44" s="2"/>
      <c r="R44" s="2"/>
      <c r="S44" s="2"/>
      <c r="T44" s="2"/>
      <c r="U44" s="2"/>
      <c r="V44" s="2"/>
      <c r="W44" s="2"/>
      <c r="X44" s="2">
        <v>0.08</v>
      </c>
      <c r="Y44" s="2"/>
      <c r="Z44" s="1" t="str">
        <f>[1]Tags!$A$12</f>
        <v>Break</v>
      </c>
      <c r="AA44" s="1"/>
      <c r="AB44" s="1"/>
      <c r="AC44" s="1"/>
      <c r="AD44" s="1" t="str">
        <f>[1]Tags!$A$17</f>
        <v>DPS</v>
      </c>
      <c r="AE44" s="1"/>
      <c r="AF44" s="1" t="str">
        <f>[1]Tags!$A$26</f>
        <v>ATK-Scaller</v>
      </c>
      <c r="AG44" s="1" t="str">
        <f>[1]Tags!$A$27</f>
        <v>Break-Scaller</v>
      </c>
      <c r="AH44" s="1"/>
      <c r="AI44" s="1"/>
      <c r="AJ44" s="1"/>
    </row>
    <row r="45" spans="1:36" x14ac:dyDescent="0.25">
      <c r="A45" s="1" t="s">
        <v>64</v>
      </c>
      <c r="B45" s="1" t="s">
        <v>123</v>
      </c>
      <c r="C45" s="1" t="s">
        <v>120</v>
      </c>
      <c r="D45" s="1" t="s">
        <v>113</v>
      </c>
      <c r="E45" s="1">
        <v>1086</v>
      </c>
      <c r="F45" s="1">
        <v>659</v>
      </c>
      <c r="G45" s="1">
        <v>485</v>
      </c>
      <c r="H45" s="1">
        <v>102</v>
      </c>
      <c r="I45" s="2"/>
      <c r="J45" s="2">
        <v>0.28000000000000003</v>
      </c>
      <c r="K45" s="2"/>
      <c r="L45" s="3"/>
      <c r="M45" s="2"/>
      <c r="N45" s="2"/>
      <c r="O45" s="2"/>
      <c r="P45" s="2"/>
      <c r="Q45" s="2">
        <v>0.1</v>
      </c>
      <c r="R45" s="2"/>
      <c r="S45" s="2"/>
      <c r="T45" s="2"/>
      <c r="U45" s="2"/>
      <c r="V45" s="2"/>
      <c r="W45" s="2" t="s">
        <v>104</v>
      </c>
      <c r="X45" s="2"/>
      <c r="Y45" s="2"/>
      <c r="Z45" s="1" t="str">
        <f>[1]Tags!$A$13</f>
        <v>Debuff</v>
      </c>
      <c r="AA45" s="1" t="str">
        <f>[1]Tags!$A$14</f>
        <v>DoT</v>
      </c>
      <c r="AB45" s="1"/>
      <c r="AC45" s="1"/>
      <c r="AD45" s="1" t="str">
        <f>[1]Tags!$A$18</f>
        <v>Support-DPS</v>
      </c>
      <c r="AE45" s="1"/>
      <c r="AF45" s="1" t="str">
        <f>[1]Tags!$A$26</f>
        <v>ATK-Scaller</v>
      </c>
      <c r="AG45" s="1" t="s">
        <v>135</v>
      </c>
      <c r="AH45" s="1"/>
      <c r="AI45" s="1"/>
      <c r="AJ45" s="1"/>
    </row>
    <row r="46" spans="1:36" x14ac:dyDescent="0.25">
      <c r="A46" s="1" t="s">
        <v>65</v>
      </c>
      <c r="B46" s="1" t="s">
        <v>126</v>
      </c>
      <c r="C46" s="1" t="s">
        <v>127</v>
      </c>
      <c r="D46" s="1" t="s">
        <v>113</v>
      </c>
      <c r="E46" s="1">
        <v>1397</v>
      </c>
      <c r="F46" s="1">
        <v>523</v>
      </c>
      <c r="G46" s="1">
        <v>485</v>
      </c>
      <c r="H46" s="1">
        <v>101</v>
      </c>
      <c r="I46" s="2">
        <v>0.28000000000000003</v>
      </c>
      <c r="J46" s="2"/>
      <c r="K46" s="2"/>
      <c r="L46" s="3"/>
      <c r="M46" s="2"/>
      <c r="N46" s="2">
        <v>0.24</v>
      </c>
      <c r="O46" s="2"/>
      <c r="P46" s="2"/>
      <c r="Q46" s="2"/>
      <c r="R46" s="2">
        <v>0.1</v>
      </c>
      <c r="S46" s="2"/>
      <c r="T46" s="2"/>
      <c r="U46" s="2"/>
      <c r="V46" s="2"/>
      <c r="W46" s="2"/>
      <c r="X46" s="2"/>
      <c r="Y46" s="2"/>
      <c r="Z46" s="1" t="str">
        <f>[1]Tags!$A$2</f>
        <v>Advance</v>
      </c>
      <c r="AA46" s="1" t="str">
        <f>[1]Tags!$A$3</f>
        <v>Buff</v>
      </c>
      <c r="AB46" s="1" t="str">
        <f>[1]Tags!$A$6</f>
        <v>SP-Friendly</v>
      </c>
      <c r="AC46" s="1"/>
      <c r="AD46" s="1" t="str">
        <f>[1]Tags!$A$19</f>
        <v>Amplifier</v>
      </c>
      <c r="AE46" s="1"/>
      <c r="AF46" s="1" t="str">
        <f>[1]Tags!$A$32</f>
        <v>HighSpeed</v>
      </c>
      <c r="AG46" s="1" t="str">
        <f>[1]Tags!$A$39</f>
        <v>SpeedTunning</v>
      </c>
      <c r="AH46" s="1" t="str">
        <f>[1]Tags!$A$29</f>
        <v>CritDMG-Scaller</v>
      </c>
      <c r="AI46" s="1"/>
      <c r="AJ46" s="1"/>
    </row>
    <row r="47" spans="1:36" x14ac:dyDescent="0.25">
      <c r="A47" s="1" t="s">
        <v>66</v>
      </c>
      <c r="B47" s="1" t="s">
        <v>115</v>
      </c>
      <c r="C47" s="1" t="s">
        <v>118</v>
      </c>
      <c r="D47" s="1" t="s">
        <v>114</v>
      </c>
      <c r="E47" s="1">
        <v>1270</v>
      </c>
      <c r="F47" s="1">
        <v>599</v>
      </c>
      <c r="G47" s="1">
        <v>396</v>
      </c>
      <c r="H47" s="1">
        <v>96</v>
      </c>
      <c r="I47" s="2"/>
      <c r="J47" s="2"/>
      <c r="K47" s="2"/>
      <c r="L47" s="3"/>
      <c r="M47" s="2"/>
      <c r="N47" s="2"/>
      <c r="O47" s="2"/>
      <c r="P47" s="2"/>
      <c r="Q47" s="2"/>
      <c r="R47" s="2"/>
      <c r="S47" s="2"/>
      <c r="T47" s="2"/>
      <c r="U47" s="2" t="s">
        <v>27</v>
      </c>
      <c r="V47" s="2"/>
      <c r="W47" s="2"/>
      <c r="X47" s="2"/>
      <c r="Y47" s="2"/>
      <c r="Z47" s="1" t="str">
        <f>[1]Tags!$A$13</f>
        <v>Debuff</v>
      </c>
      <c r="AA47" s="1"/>
      <c r="AB47" s="1"/>
      <c r="AC47" s="1"/>
      <c r="AD47" s="1" t="str">
        <f>[1]Tags!$A$17</f>
        <v>DPS</v>
      </c>
      <c r="AE47" s="1"/>
      <c r="AF47" s="1" t="str">
        <f>[1]Tags!$A$26</f>
        <v>ATK-Scaller</v>
      </c>
      <c r="AG47" s="1"/>
      <c r="AH47" s="1"/>
      <c r="AI47" s="1"/>
      <c r="AJ47" s="1"/>
    </row>
    <row r="48" spans="1:36" x14ac:dyDescent="0.25">
      <c r="A48" s="1" t="s">
        <v>67</v>
      </c>
      <c r="B48" s="1" t="s">
        <v>123</v>
      </c>
      <c r="C48" s="1" t="s">
        <v>125</v>
      </c>
      <c r="D48" s="1" t="s">
        <v>113</v>
      </c>
      <c r="E48" s="1">
        <v>1125</v>
      </c>
      <c r="F48" s="1">
        <v>698</v>
      </c>
      <c r="G48" s="1">
        <v>436</v>
      </c>
      <c r="H48" s="1">
        <v>101</v>
      </c>
      <c r="I48" s="2"/>
      <c r="J48" s="2">
        <v>0.28000000000000003</v>
      </c>
      <c r="K48" s="2"/>
      <c r="L48" s="3"/>
      <c r="M48" s="2"/>
      <c r="N48" s="2">
        <v>0.24</v>
      </c>
      <c r="O48" s="2"/>
      <c r="P48" s="2"/>
      <c r="Q48" s="2"/>
      <c r="R48" s="2"/>
      <c r="S48" s="2"/>
      <c r="T48" s="2"/>
      <c r="U48" s="2"/>
      <c r="V48" s="2">
        <v>0.08</v>
      </c>
      <c r="W48" s="2"/>
      <c r="X48" s="2"/>
      <c r="Y48" s="2"/>
      <c r="Z48" s="1" t="str">
        <f>[1]Tags!$A$13</f>
        <v>Debuff</v>
      </c>
      <c r="AA48" s="1"/>
      <c r="AB48" s="1"/>
      <c r="AC48" s="1"/>
      <c r="AD48" s="1" t="str">
        <f>[1]Tags!$A$17</f>
        <v>DPS</v>
      </c>
      <c r="AE48" s="1"/>
      <c r="AF48" s="1" t="str">
        <f>[1]Tags!$A$26</f>
        <v>ATK-Scaller</v>
      </c>
      <c r="AG48" s="1" t="str">
        <f>[1]Tags!$A$30</f>
        <v>BaseSpeed</v>
      </c>
      <c r="AH48" s="1" t="str">
        <f>[1]Tags!$A$40</f>
        <v>SpdBreakpoint</v>
      </c>
      <c r="AI48" s="1"/>
      <c r="AJ48" s="1"/>
    </row>
    <row r="49" spans="1:36" x14ac:dyDescent="0.25">
      <c r="A49" s="1" t="s">
        <v>68</v>
      </c>
      <c r="B49" s="1" t="s">
        <v>116</v>
      </c>
      <c r="C49" s="1" t="s">
        <v>124</v>
      </c>
      <c r="D49" s="1" t="s">
        <v>113</v>
      </c>
      <c r="E49" s="1">
        <v>1203</v>
      </c>
      <c r="F49" s="1">
        <v>446</v>
      </c>
      <c r="G49" s="1">
        <v>654</v>
      </c>
      <c r="H49" s="1">
        <v>106</v>
      </c>
      <c r="I49" s="2"/>
      <c r="J49" s="2"/>
      <c r="K49" s="2">
        <v>0.35</v>
      </c>
      <c r="L49" s="3"/>
      <c r="M49" s="2"/>
      <c r="N49" s="2"/>
      <c r="O49" s="2"/>
      <c r="P49" s="2"/>
      <c r="Q49" s="2"/>
      <c r="R49" s="2">
        <v>0.1</v>
      </c>
      <c r="S49" s="2"/>
      <c r="T49" s="2"/>
      <c r="U49" s="2"/>
      <c r="V49" s="2"/>
      <c r="W49" s="2"/>
      <c r="X49" s="2"/>
      <c r="Y49" s="2" t="s">
        <v>104</v>
      </c>
      <c r="Z49" s="1" t="str">
        <f>[1]Tags!$A$13</f>
        <v>Debuff</v>
      </c>
      <c r="AA49" s="1" t="str">
        <f>[1]Tags!$A$6</f>
        <v>SP-Friendly</v>
      </c>
      <c r="AB49" s="1"/>
      <c r="AC49" s="1"/>
      <c r="AD49" s="1" t="str">
        <f>[1]Tags!$A$20</f>
        <v>Sustain</v>
      </c>
      <c r="AE49" s="1"/>
      <c r="AF49" s="1" t="str">
        <f>[1]Tags!$A$24</f>
        <v>DEF-Scaller</v>
      </c>
      <c r="AG49" s="1"/>
      <c r="AH49" s="1"/>
      <c r="AI49" s="1"/>
      <c r="AJ49" s="1"/>
    </row>
    <row r="50" spans="1:36" x14ac:dyDescent="0.25">
      <c r="A50" s="1" t="s">
        <v>69</v>
      </c>
      <c r="B50" s="1" t="s">
        <v>128</v>
      </c>
      <c r="C50" s="1" t="s">
        <v>122</v>
      </c>
      <c r="D50" s="1" t="s">
        <v>114</v>
      </c>
      <c r="E50" s="1">
        <v>1305</v>
      </c>
      <c r="F50" s="1">
        <v>529</v>
      </c>
      <c r="G50" s="1">
        <v>441</v>
      </c>
      <c r="H50" s="1">
        <v>98</v>
      </c>
      <c r="I50" s="2">
        <v>0.18</v>
      </c>
      <c r="J50" s="2"/>
      <c r="K50" s="2"/>
      <c r="L50" s="3"/>
      <c r="M50" s="2"/>
      <c r="N50" s="2"/>
      <c r="O50" s="2" t="s">
        <v>110</v>
      </c>
      <c r="P50" s="2"/>
      <c r="Q50" s="2"/>
      <c r="R50" s="2">
        <v>0.28000000000000003</v>
      </c>
      <c r="S50" s="2"/>
      <c r="T50" s="2"/>
      <c r="U50" s="2"/>
      <c r="V50" s="2"/>
      <c r="W50" s="2"/>
      <c r="X50" s="2"/>
      <c r="Y50" s="2"/>
      <c r="Z50" s="1" t="str">
        <f>[1]Tags!$A$2</f>
        <v>Advance</v>
      </c>
      <c r="AA50" s="1" t="str">
        <f>[1]Tags!$A$12</f>
        <v>Break</v>
      </c>
      <c r="AB50" s="1" t="str">
        <f>[1]Tags!$A$13</f>
        <v>Debuff</v>
      </c>
      <c r="AC50" s="1" t="str">
        <f>[1]Tags!$A$6</f>
        <v>SP-Friendly</v>
      </c>
      <c r="AD50" s="1" t="str">
        <f>[1]Tags!$A$20</f>
        <v>Sustain</v>
      </c>
      <c r="AE50" s="1"/>
      <c r="AF50" s="1" t="str">
        <f>[1]Tags!$A$27</f>
        <v>Break-Scaller</v>
      </c>
      <c r="AG50" s="1" t="str">
        <f>[1]Tags!$A$32</f>
        <v>HighSpeed</v>
      </c>
      <c r="AH50" s="1" t="str">
        <f>[1]Tags!$A$40</f>
        <v>SpdBreakpoint</v>
      </c>
      <c r="AI50" s="1"/>
      <c r="AJ50" s="1"/>
    </row>
    <row r="51" spans="1:36" x14ac:dyDescent="0.25">
      <c r="A51" s="1" t="s">
        <v>70</v>
      </c>
      <c r="B51" s="1" t="s">
        <v>126</v>
      </c>
      <c r="C51" s="1" t="s">
        <v>117</v>
      </c>
      <c r="D51" s="1" t="s">
        <v>113</v>
      </c>
      <c r="E51" s="1">
        <v>1280</v>
      </c>
      <c r="F51" s="1">
        <v>640</v>
      </c>
      <c r="G51" s="1">
        <v>485</v>
      </c>
      <c r="H51" s="1">
        <v>102</v>
      </c>
      <c r="I51" s="2">
        <v>0.18</v>
      </c>
      <c r="J51" s="2">
        <v>0.28000000000000003</v>
      </c>
      <c r="K51" s="2"/>
      <c r="L51" s="3">
        <v>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1" t="str">
        <f>[1]Tags!$A$2</f>
        <v>Advance</v>
      </c>
      <c r="AA51" s="1" t="str">
        <f>[1]Tags!$A$3</f>
        <v>Buff</v>
      </c>
      <c r="AB51" s="1"/>
      <c r="AC51" s="1"/>
      <c r="AD51" s="1" t="str">
        <f>[1]Tags!$A$19</f>
        <v>Amplifier</v>
      </c>
      <c r="AE51" s="1"/>
      <c r="AF51" s="1" t="str">
        <f>[1]Tags!$A$26</f>
        <v>ATK-Scaller</v>
      </c>
      <c r="AG51" s="1"/>
      <c r="AH51" s="1"/>
      <c r="AI51" s="1"/>
      <c r="AJ51" s="1"/>
    </row>
    <row r="52" spans="1:36" x14ac:dyDescent="0.25">
      <c r="A52" s="1" t="s">
        <v>71</v>
      </c>
      <c r="B52" s="1" t="s">
        <v>119</v>
      </c>
      <c r="C52" s="1" t="s">
        <v>117</v>
      </c>
      <c r="D52" s="1" t="s">
        <v>113</v>
      </c>
      <c r="E52" s="1">
        <v>1203</v>
      </c>
      <c r="F52" s="1">
        <v>620</v>
      </c>
      <c r="G52" s="1">
        <v>436</v>
      </c>
      <c r="H52" s="1">
        <v>107</v>
      </c>
      <c r="I52" s="2">
        <v>0.1</v>
      </c>
      <c r="J52" s="2">
        <v>0.18</v>
      </c>
      <c r="K52" s="2"/>
      <c r="L52" s="3"/>
      <c r="M52" s="2"/>
      <c r="N52" s="2"/>
      <c r="O52" s="2" t="s">
        <v>112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1" t="str">
        <f>[1]Tags!$A$12</f>
        <v>Break</v>
      </c>
      <c r="AA52" s="1"/>
      <c r="AB52" s="1"/>
      <c r="AC52" s="1"/>
      <c r="AD52" s="1" t="str">
        <f>[1]Tags!$A$17</f>
        <v>DPS</v>
      </c>
      <c r="AE52" s="1"/>
      <c r="AF52" s="1" t="str">
        <f>[1]Tags!$A$27</f>
        <v>Break-Scaller</v>
      </c>
      <c r="AG52" s="1" t="str">
        <f>[1]Tags!$A$32</f>
        <v>HighSpeed</v>
      </c>
      <c r="AH52" s="1"/>
      <c r="AI52" s="1"/>
      <c r="AJ52" s="1"/>
    </row>
    <row r="53" spans="1:36" x14ac:dyDescent="0.25">
      <c r="A53" s="1" t="s">
        <v>72</v>
      </c>
      <c r="B53" s="1" t="s">
        <v>115</v>
      </c>
      <c r="C53" s="1" t="s">
        <v>122</v>
      </c>
      <c r="D53" s="1" t="s">
        <v>113</v>
      </c>
      <c r="E53" s="1">
        <v>814</v>
      </c>
      <c r="F53" s="1">
        <v>523</v>
      </c>
      <c r="G53" s="1">
        <v>776</v>
      </c>
      <c r="H53" s="1">
        <v>104</v>
      </c>
      <c r="I53" s="2"/>
      <c r="J53" s="2"/>
      <c r="K53" s="2"/>
      <c r="L53" s="3">
        <v>5</v>
      </c>
      <c r="M53" s="2"/>
      <c r="N53" s="2"/>
      <c r="O53" s="2" t="s">
        <v>112</v>
      </c>
      <c r="P53" s="2"/>
      <c r="Q53" s="2"/>
      <c r="R53" s="2">
        <v>0.18</v>
      </c>
      <c r="S53" s="2"/>
      <c r="T53" s="2"/>
      <c r="U53" s="2"/>
      <c r="V53" s="2"/>
      <c r="W53" s="2"/>
      <c r="X53" s="2"/>
      <c r="Y53" s="2"/>
      <c r="Z53" s="1" t="str">
        <f>[1]Tags!$A$2</f>
        <v>Advance</v>
      </c>
      <c r="AA53" s="1" t="str">
        <f>[1]Tags!$A$12</f>
        <v>Break</v>
      </c>
      <c r="AB53" s="1" t="str">
        <f>[1]Tags!$A$9</f>
        <v>SP-Unfriendly</v>
      </c>
      <c r="AC53" s="1"/>
      <c r="AD53" s="1" t="str">
        <f>[1]Tags!$A$17</f>
        <v>DPS</v>
      </c>
      <c r="AE53" s="1"/>
      <c r="AF53" s="1" t="str">
        <f>[1]Tags!$A$27</f>
        <v>Break-Scaller</v>
      </c>
      <c r="AG53" s="1" t="str">
        <f>[1]Tags!$A$32</f>
        <v>HighSpeed</v>
      </c>
      <c r="AH53" s="1"/>
      <c r="AI53" s="1"/>
      <c r="AJ53" s="1"/>
    </row>
    <row r="54" spans="1:36" x14ac:dyDescent="0.25">
      <c r="A54" s="1" t="s">
        <v>73</v>
      </c>
      <c r="B54" s="1" t="s">
        <v>121</v>
      </c>
      <c r="C54" s="1" t="s">
        <v>127</v>
      </c>
      <c r="D54" s="1" t="s">
        <v>113</v>
      </c>
      <c r="E54" s="1">
        <v>1086</v>
      </c>
      <c r="F54" s="1">
        <v>659</v>
      </c>
      <c r="G54" s="1">
        <v>509</v>
      </c>
      <c r="H54" s="1">
        <v>103</v>
      </c>
      <c r="I54" s="2"/>
      <c r="J54" s="2">
        <v>0.18</v>
      </c>
      <c r="K54" s="2"/>
      <c r="L54" s="3"/>
      <c r="M54" s="2"/>
      <c r="N54" s="2"/>
      <c r="O54" s="2"/>
      <c r="P54" s="2"/>
      <c r="Q54" s="2"/>
      <c r="R54" s="2">
        <v>0.1</v>
      </c>
      <c r="S54" s="2"/>
      <c r="T54" s="2"/>
      <c r="U54" s="2"/>
      <c r="V54" s="2"/>
      <c r="W54" s="2"/>
      <c r="X54" s="2" t="s">
        <v>27</v>
      </c>
      <c r="Y54" s="2"/>
      <c r="Z54" s="1" t="str">
        <f>[1]Tags!$A$6</f>
        <v>SP-Friendly</v>
      </c>
      <c r="AA54" s="1"/>
      <c r="AB54" s="1"/>
      <c r="AC54" s="1"/>
      <c r="AD54" s="1" t="str">
        <f>[1]Tags!$A$18</f>
        <v>Support-DPS</v>
      </c>
      <c r="AE54" s="1"/>
      <c r="AF54" s="1" t="str">
        <f>[1]Tags!$A$26</f>
        <v>ATK-Scaller</v>
      </c>
      <c r="AG54" s="1"/>
      <c r="AH54" s="1"/>
      <c r="AI54" s="1"/>
      <c r="AJ54" s="1"/>
    </row>
    <row r="55" spans="1:36" x14ac:dyDescent="0.25">
      <c r="A55" s="1" t="s">
        <v>74</v>
      </c>
      <c r="B55" s="1" t="s">
        <v>126</v>
      </c>
      <c r="C55" s="1" t="s">
        <v>124</v>
      </c>
      <c r="D55" s="1" t="s">
        <v>113</v>
      </c>
      <c r="E55" s="1">
        <v>1086</v>
      </c>
      <c r="F55" s="1">
        <v>446</v>
      </c>
      <c r="G55" s="1">
        <v>679</v>
      </c>
      <c r="H55" s="1">
        <v>105</v>
      </c>
      <c r="I55" s="2"/>
      <c r="J55" s="2"/>
      <c r="K55" s="2"/>
      <c r="L55" s="3"/>
      <c r="M55" s="2"/>
      <c r="N55" s="2"/>
      <c r="O55" s="2" t="s">
        <v>112</v>
      </c>
      <c r="P55" s="2"/>
      <c r="Q55" s="2"/>
      <c r="R55" s="2">
        <v>0.1</v>
      </c>
      <c r="S55" s="2"/>
      <c r="T55" s="2"/>
      <c r="U55" s="2"/>
      <c r="V55" s="2"/>
      <c r="W55" s="2"/>
      <c r="X55" s="2"/>
      <c r="Y55" s="2" t="s">
        <v>104</v>
      </c>
      <c r="Z55" s="1" t="str">
        <f>[1]Tags!$A$12</f>
        <v>Break</v>
      </c>
      <c r="AA55" s="1" t="str">
        <f>[1]Tags!$A$3</f>
        <v>Buff</v>
      </c>
      <c r="AB55" s="1"/>
      <c r="AC55" s="1"/>
      <c r="AD55" s="1" t="str">
        <f>[1]Tags!$A$19</f>
        <v>Amplifier</v>
      </c>
      <c r="AE55" s="1"/>
      <c r="AF55" s="1" t="str">
        <f>[1]Tags!$A$27</f>
        <v>Break-Scaller</v>
      </c>
      <c r="AG55" s="1" t="str">
        <f>[1]Tags!$A$40</f>
        <v>SpdBreakpoint</v>
      </c>
      <c r="AH55" s="1"/>
      <c r="AI55" s="1"/>
      <c r="AJ55" s="1"/>
    </row>
    <row r="56" spans="1:36" x14ac:dyDescent="0.25">
      <c r="A56" s="1" t="s">
        <v>75</v>
      </c>
      <c r="B56" s="1" t="s">
        <v>115</v>
      </c>
      <c r="C56" s="1" t="s">
        <v>117</v>
      </c>
      <c r="D56" s="1" t="s">
        <v>113</v>
      </c>
      <c r="E56" s="1">
        <v>1359</v>
      </c>
      <c r="F56" s="1">
        <v>679</v>
      </c>
      <c r="G56" s="1">
        <v>460</v>
      </c>
      <c r="H56" s="1">
        <v>94</v>
      </c>
      <c r="I56" s="2">
        <v>0.18</v>
      </c>
      <c r="J56" s="2">
        <v>0.28000000000000003</v>
      </c>
      <c r="K56" s="2"/>
      <c r="L56" s="3"/>
      <c r="M56" s="2" t="s">
        <v>105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1"/>
      <c r="AA56" s="1"/>
      <c r="AB56" s="1"/>
      <c r="AC56" s="1"/>
      <c r="AD56" s="1" t="str">
        <f>[1]Tags!$A$17</f>
        <v>DPS</v>
      </c>
      <c r="AE56" s="1"/>
      <c r="AF56" s="1" t="str">
        <f>[1]Tags!$A$26</f>
        <v>ATK-Scaller</v>
      </c>
      <c r="AG56" s="1" t="str">
        <f>[1]Tags!$A$30</f>
        <v>BaseSpeed</v>
      </c>
      <c r="AH56" s="1"/>
      <c r="AI56" s="1"/>
      <c r="AJ56" s="1"/>
    </row>
    <row r="57" spans="1:36" x14ac:dyDescent="0.25">
      <c r="A57" s="1" t="s">
        <v>76</v>
      </c>
      <c r="B57" s="1" t="s">
        <v>123</v>
      </c>
      <c r="C57" s="1" t="s">
        <v>122</v>
      </c>
      <c r="D57" s="1" t="s">
        <v>113</v>
      </c>
      <c r="E57" s="1">
        <v>1358</v>
      </c>
      <c r="F57" s="1">
        <v>601</v>
      </c>
      <c r="G57" s="1">
        <v>509</v>
      </c>
      <c r="H57" s="1">
        <v>98</v>
      </c>
      <c r="I57" s="2"/>
      <c r="J57" s="2"/>
      <c r="K57" s="2"/>
      <c r="L57" s="3">
        <v>5</v>
      </c>
      <c r="M57" s="2"/>
      <c r="N57" s="2"/>
      <c r="O57" s="2"/>
      <c r="P57" s="2"/>
      <c r="Q57" s="2">
        <v>0.28000000000000003</v>
      </c>
      <c r="R57" s="2"/>
      <c r="S57" s="2"/>
      <c r="T57" s="2" t="s">
        <v>104</v>
      </c>
      <c r="U57" s="2"/>
      <c r="V57" s="2"/>
      <c r="W57" s="2"/>
      <c r="X57" s="2"/>
      <c r="Y57" s="2"/>
      <c r="Z57" s="1" t="str">
        <f>[1]Tags!$A$13</f>
        <v>Debuff</v>
      </c>
      <c r="AA57" s="1" t="str">
        <f>[1]Tags!$A$14</f>
        <v>DoT</v>
      </c>
      <c r="AB57" s="1"/>
      <c r="AC57" s="1"/>
      <c r="AD57" s="1" t="str">
        <f>[1]Tags!$A$19</f>
        <v>Amplifier</v>
      </c>
      <c r="AE57" s="1"/>
      <c r="AF57" s="1" t="str">
        <f>[1]Tags!$A$26</f>
        <v>ATK-Scaller</v>
      </c>
      <c r="AG57" s="1" t="str">
        <f>[1]Tags!$A$28</f>
        <v>EHR-Scaller</v>
      </c>
      <c r="AH57" s="1" t="str">
        <f>[1]Tags!$A$32</f>
        <v>HighSpeed</v>
      </c>
      <c r="AI57" s="1"/>
      <c r="AJ57" s="1"/>
    </row>
    <row r="58" spans="1:36" x14ac:dyDescent="0.25">
      <c r="A58" s="1" t="s">
        <v>77</v>
      </c>
      <c r="B58" s="1" t="s">
        <v>119</v>
      </c>
      <c r="C58" s="1" t="s">
        <v>124</v>
      </c>
      <c r="D58" s="1" t="s">
        <v>113</v>
      </c>
      <c r="E58" s="1">
        <v>1058</v>
      </c>
      <c r="F58" s="1">
        <v>564</v>
      </c>
      <c r="G58" s="1">
        <v>441</v>
      </c>
      <c r="H58" s="1">
        <v>102</v>
      </c>
      <c r="I58" s="2"/>
      <c r="J58" s="2">
        <v>0.28000000000000003</v>
      </c>
      <c r="K58" s="2">
        <v>0.1</v>
      </c>
      <c r="L58" s="3"/>
      <c r="M58" s="2"/>
      <c r="N58" s="2">
        <v>0.24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1" t="str">
        <f>[1]Tags!$A$2</f>
        <v>Advance</v>
      </c>
      <c r="AA58" s="1" t="str">
        <f>[1]Tags!$A$12</f>
        <v>Break</v>
      </c>
      <c r="AB58" s="1" t="str">
        <f>[1]Tags!$A$3</f>
        <v>Buff</v>
      </c>
      <c r="AC58" s="1"/>
      <c r="AD58" s="1" t="str">
        <f>[1]Tags!$A$18</f>
        <v>Support-DPS</v>
      </c>
      <c r="AE58" s="1"/>
      <c r="AF58" s="1" t="str">
        <f>[1]Tags!$A$26</f>
        <v>ATK-Scaller</v>
      </c>
      <c r="AG58" s="1" t="str">
        <f>[1]Tags!$A$41</f>
        <v>BreakPlayed</v>
      </c>
      <c r="AH58" s="1"/>
      <c r="AI58" s="1"/>
      <c r="AJ58" s="1"/>
    </row>
    <row r="59" spans="1:36" x14ac:dyDescent="0.25">
      <c r="A59" s="1" t="s">
        <v>78</v>
      </c>
      <c r="B59" s="1" t="s">
        <v>119</v>
      </c>
      <c r="C59" s="1" t="s">
        <v>120</v>
      </c>
      <c r="D59" s="1" t="s">
        <v>113</v>
      </c>
      <c r="E59" s="1">
        <v>1051</v>
      </c>
      <c r="F59" s="1">
        <v>601</v>
      </c>
      <c r="G59" s="1">
        <v>388</v>
      </c>
      <c r="H59" s="1">
        <v>112</v>
      </c>
      <c r="I59" s="2"/>
      <c r="J59" s="2">
        <v>0.28000000000000003</v>
      </c>
      <c r="K59" s="2" t="s">
        <v>18</v>
      </c>
      <c r="L59" s="3"/>
      <c r="M59" s="2">
        <v>0.12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1"/>
      <c r="AA59" s="1"/>
      <c r="AB59" s="1"/>
      <c r="AC59" s="1"/>
      <c r="AD59" s="1" t="str">
        <f>[1]Tags!$A$17</f>
        <v>DPS</v>
      </c>
      <c r="AE59" s="1"/>
      <c r="AF59" s="1" t="str">
        <f>[1]Tags!$A$26</f>
        <v>ATK-Scaller</v>
      </c>
      <c r="AG59" s="1"/>
      <c r="AH59" s="1"/>
      <c r="AI59" s="1"/>
      <c r="AJ59" s="1"/>
    </row>
    <row r="60" spans="1:36" x14ac:dyDescent="0.25">
      <c r="A60" s="1" t="s">
        <v>79</v>
      </c>
      <c r="B60" s="1" t="s">
        <v>128</v>
      </c>
      <c r="C60" s="1" t="s">
        <v>122</v>
      </c>
      <c r="D60" s="1" t="s">
        <v>113</v>
      </c>
      <c r="E60" s="1">
        <v>1358</v>
      </c>
      <c r="F60" s="1">
        <v>679</v>
      </c>
      <c r="G60" s="1">
        <v>436</v>
      </c>
      <c r="H60" s="1">
        <v>98</v>
      </c>
      <c r="I60" s="2">
        <v>0.18</v>
      </c>
      <c r="J60" s="2">
        <v>0.1</v>
      </c>
      <c r="K60" s="2"/>
      <c r="L60" s="3"/>
      <c r="M60" s="2"/>
      <c r="N60" s="2"/>
      <c r="O60" s="2" t="s">
        <v>112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1" t="str">
        <f>[1]Tags!$A$12</f>
        <v>Break</v>
      </c>
      <c r="AA60" s="1" t="str">
        <f>[1]Tags!$A$13</f>
        <v>Debuff</v>
      </c>
      <c r="AB60" s="1"/>
      <c r="AC60" s="1"/>
      <c r="AD60" s="1" t="str">
        <f>[1]Tags!$A$20</f>
        <v>Sustain</v>
      </c>
      <c r="AE60" s="1"/>
      <c r="AF60" s="1" t="str">
        <f>[1]Tags!$A$26</f>
        <v>ATK-Scaller</v>
      </c>
      <c r="AG60" s="1" t="str">
        <f>[1]Tags!$A$27</f>
        <v>Break-Scaller</v>
      </c>
      <c r="AH60" s="1" t="str">
        <f>[1]Tags!$A$32</f>
        <v>HighSpeed</v>
      </c>
      <c r="AI60" s="1"/>
      <c r="AJ60" s="1"/>
    </row>
    <row r="61" spans="1:36" x14ac:dyDescent="0.25">
      <c r="A61" s="1" t="s">
        <v>80</v>
      </c>
      <c r="B61" s="1" t="s">
        <v>119</v>
      </c>
      <c r="C61" s="1" t="s">
        <v>125</v>
      </c>
      <c r="D61" s="1" t="s">
        <v>114</v>
      </c>
      <c r="E61" s="1">
        <v>808</v>
      </c>
      <c r="F61" s="1">
        <v>599</v>
      </c>
      <c r="G61" s="1">
        <v>352</v>
      </c>
      <c r="H61" s="1">
        <v>111</v>
      </c>
      <c r="I61" s="2">
        <v>0.1</v>
      </c>
      <c r="J61" s="2">
        <v>0.18</v>
      </c>
      <c r="K61" s="2"/>
      <c r="L61" s="3"/>
      <c r="M61" s="2"/>
      <c r="N61" s="2" t="s">
        <v>112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1" t="str">
        <f>[1]Tags!$A$13</f>
        <v>Debuff</v>
      </c>
      <c r="AA61" s="1"/>
      <c r="AB61" s="1"/>
      <c r="AC61" s="1"/>
      <c r="AD61" s="1" t="str">
        <f>[1]Tags!$A$18</f>
        <v>Support-DPS</v>
      </c>
      <c r="AE61" s="1"/>
      <c r="AF61" s="1" t="str">
        <f>[1]Tags!$A$26</f>
        <v>ATK-Scaller</v>
      </c>
      <c r="AG61" s="1" t="str">
        <f>[1]Tags!$A$32</f>
        <v>HighSpeed</v>
      </c>
      <c r="AH61" s="1"/>
      <c r="AI61" s="1"/>
      <c r="AJ61" s="1"/>
    </row>
    <row r="62" spans="1:36" x14ac:dyDescent="0.25">
      <c r="A62" s="1" t="s">
        <v>81</v>
      </c>
      <c r="B62" s="1" t="s">
        <v>121</v>
      </c>
      <c r="C62" s="1" t="s">
        <v>124</v>
      </c>
      <c r="D62" s="1" t="s">
        <v>113</v>
      </c>
      <c r="E62" s="1">
        <v>1087</v>
      </c>
      <c r="F62" s="1">
        <v>717</v>
      </c>
      <c r="G62" s="1">
        <v>460</v>
      </c>
      <c r="H62" s="1">
        <v>96</v>
      </c>
      <c r="I62" s="2"/>
      <c r="J62" s="2">
        <v>0.28000000000000003</v>
      </c>
      <c r="K62" s="2"/>
      <c r="L62" s="3">
        <v>9</v>
      </c>
      <c r="M62" s="2"/>
      <c r="N62" s="2"/>
      <c r="O62" s="2" t="s">
        <v>110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1" t="str">
        <f>[1]Tags!$A$12</f>
        <v>Break</v>
      </c>
      <c r="AA62" s="1" t="str">
        <f>[1]Tags!$A$6</f>
        <v>SP-Friendly</v>
      </c>
      <c r="AB62" s="1"/>
      <c r="AC62" s="1"/>
      <c r="AD62" s="1" t="str">
        <f>[1]Tags!$A$17</f>
        <v>DPS</v>
      </c>
      <c r="AE62" s="1"/>
      <c r="AF62" s="1" t="str">
        <f>[1]Tags!$A$27</f>
        <v>Break-Scaller</v>
      </c>
      <c r="AG62" s="1" t="str">
        <f>[1]Tags!$A$32</f>
        <v>HighSpeed</v>
      </c>
      <c r="AH62" s="1"/>
      <c r="AI62" s="1"/>
      <c r="AJ62" s="1"/>
    </row>
    <row r="63" spans="1:36" x14ac:dyDescent="0.25">
      <c r="A63" s="1" t="s">
        <v>82</v>
      </c>
      <c r="B63" s="1" t="s">
        <v>126</v>
      </c>
      <c r="C63" s="1" t="s">
        <v>124</v>
      </c>
      <c r="D63" s="1" t="s">
        <v>113</v>
      </c>
      <c r="E63" s="1">
        <v>1241</v>
      </c>
      <c r="F63" s="1">
        <v>640</v>
      </c>
      <c r="G63" s="1">
        <v>533</v>
      </c>
      <c r="H63" s="1">
        <v>96</v>
      </c>
      <c r="I63" s="2"/>
      <c r="J63" s="2"/>
      <c r="K63" s="2" t="s">
        <v>18</v>
      </c>
      <c r="L63" s="3"/>
      <c r="M63" s="2"/>
      <c r="N63" s="2" t="s">
        <v>112</v>
      </c>
      <c r="O63" s="2"/>
      <c r="P63" s="2"/>
      <c r="Q63" s="2"/>
      <c r="R63" s="2">
        <v>0.18</v>
      </c>
      <c r="S63" s="2"/>
      <c r="T63" s="2"/>
      <c r="U63" s="2"/>
      <c r="V63" s="2"/>
      <c r="W63" s="2"/>
      <c r="X63" s="2"/>
      <c r="Y63" s="2"/>
      <c r="Z63" s="1" t="str">
        <f>[1]Tags!$A$2</f>
        <v>Advance</v>
      </c>
      <c r="AA63" s="1" t="str">
        <f>[1]Tags!$A$3</f>
        <v>Buff</v>
      </c>
      <c r="AB63" s="1" t="str">
        <f>[1]Tags!$A$5</f>
        <v>Energy</v>
      </c>
      <c r="AC63" s="1"/>
      <c r="AD63" s="1" t="str">
        <f>[1]Tags!$A$19</f>
        <v>Amplifier</v>
      </c>
      <c r="AE63" s="1"/>
      <c r="AF63" s="1" t="str">
        <f>[1]Tags!$A$29</f>
        <v>CritDMG-Scaller</v>
      </c>
      <c r="AG63" s="1" t="str">
        <f>[1]Tags!$A$39</f>
        <v>SpeedTunning</v>
      </c>
      <c r="AH63" s="1"/>
      <c r="AI63" s="1"/>
      <c r="AJ63" s="1"/>
    </row>
    <row r="64" spans="1:36" x14ac:dyDescent="0.25">
      <c r="A64" s="1" t="s">
        <v>83</v>
      </c>
      <c r="B64" s="1" t="s">
        <v>123</v>
      </c>
      <c r="C64" s="1" t="s">
        <v>122</v>
      </c>
      <c r="D64" s="1" t="s">
        <v>113</v>
      </c>
      <c r="E64" s="1">
        <v>1125</v>
      </c>
      <c r="F64" s="1">
        <v>582</v>
      </c>
      <c r="G64" s="1">
        <v>557</v>
      </c>
      <c r="H64" s="1">
        <v>102</v>
      </c>
      <c r="I64" s="2">
        <v>0.1</v>
      </c>
      <c r="J64" s="2"/>
      <c r="K64" s="2"/>
      <c r="L64" s="3">
        <v>14</v>
      </c>
      <c r="M64" s="2"/>
      <c r="N64" s="2"/>
      <c r="O64" s="2">
        <v>0.24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1" t="str">
        <f>[1]Tags!$A$12</f>
        <v>Break</v>
      </c>
      <c r="AA64" s="1" t="str">
        <f>[1]Tags!$A$3</f>
        <v>Buff</v>
      </c>
      <c r="AB64" s="1" t="str">
        <f>[1]Tags!$A$13</f>
        <v>Debuff</v>
      </c>
      <c r="AC64" s="1" t="str">
        <f>[1]Tags!$A$4</f>
        <v>Delay</v>
      </c>
      <c r="AD64" s="1" t="str">
        <f>[1]Tags!$A$19</f>
        <v>Amplifier</v>
      </c>
      <c r="AE64" s="1"/>
      <c r="AF64" s="1" t="str">
        <f>[1]Tags!$A$27</f>
        <v>Break-Scaller</v>
      </c>
      <c r="AG64" s="1" t="str">
        <f>[1]Tags!$A$32</f>
        <v>HighSpeed</v>
      </c>
      <c r="AH64" s="1"/>
      <c r="AI64" s="1"/>
      <c r="AJ64" s="1"/>
    </row>
    <row r="65" spans="1:36" x14ac:dyDescent="0.25">
      <c r="A65" s="1" t="s">
        <v>84</v>
      </c>
      <c r="B65" s="1" t="s">
        <v>121</v>
      </c>
      <c r="C65" s="1" t="s">
        <v>118</v>
      </c>
      <c r="D65" s="1" t="s">
        <v>113</v>
      </c>
      <c r="E65" s="1">
        <v>1164</v>
      </c>
      <c r="F65" s="1">
        <v>679</v>
      </c>
      <c r="G65" s="1">
        <v>485</v>
      </c>
      <c r="H65" s="1">
        <v>99</v>
      </c>
      <c r="I65" s="2"/>
      <c r="J65" s="2">
        <v>0.18</v>
      </c>
      <c r="K65" s="2"/>
      <c r="L65" s="3">
        <v>5</v>
      </c>
      <c r="M65" s="2"/>
      <c r="N65" s="2"/>
      <c r="O65" s="2"/>
      <c r="P65" s="2"/>
      <c r="Q65" s="2"/>
      <c r="R65" s="2"/>
      <c r="S65" s="2"/>
      <c r="T65" s="2"/>
      <c r="U65" s="2" t="s">
        <v>27</v>
      </c>
      <c r="V65" s="2"/>
      <c r="W65" s="2"/>
      <c r="X65" s="2"/>
      <c r="Y65" s="2"/>
      <c r="Z65" s="1" t="str">
        <f>[1]Tags!$A$2</f>
        <v>Advance</v>
      </c>
      <c r="AA65" s="1" t="str">
        <f>[1]Tags!$A$3</f>
        <v>Buff</v>
      </c>
      <c r="AB65" s="1" t="str">
        <f>[1]Tags!$A$9</f>
        <v>SP-Unfriendly</v>
      </c>
      <c r="AC65" s="1"/>
      <c r="AD65" s="1" t="str">
        <f>[1]Tags!$A$17</f>
        <v>DPS</v>
      </c>
      <c r="AE65" s="1"/>
      <c r="AF65" s="1" t="str">
        <f>[1]Tags!$A$26</f>
        <v>ATK-Scaller</v>
      </c>
      <c r="AG65" s="1" t="str">
        <f>[1]Tags!$A$36</f>
        <v>UltimateReliance</v>
      </c>
      <c r="AH65" s="1"/>
      <c r="AI65" s="1"/>
      <c r="AJ65" s="1"/>
    </row>
    <row r="66" spans="1:36" x14ac:dyDescent="0.25">
      <c r="A66" s="1" t="s">
        <v>85</v>
      </c>
      <c r="B66" s="1" t="s">
        <v>129</v>
      </c>
      <c r="C66" s="1" t="s">
        <v>125</v>
      </c>
      <c r="D66" s="1" t="s">
        <v>113</v>
      </c>
      <c r="E66" s="1">
        <v>1241</v>
      </c>
      <c r="F66" s="1">
        <v>698</v>
      </c>
      <c r="G66" s="1">
        <v>485</v>
      </c>
      <c r="H66" s="1">
        <v>102</v>
      </c>
      <c r="I66" s="2"/>
      <c r="J66" s="2"/>
      <c r="K66" s="2" t="s">
        <v>18</v>
      </c>
      <c r="L66" s="3"/>
      <c r="M66" s="2">
        <v>0.12</v>
      </c>
      <c r="N66" s="2"/>
      <c r="O66" s="2"/>
      <c r="P66" s="2"/>
      <c r="Q66" s="2"/>
      <c r="R66" s="2"/>
      <c r="S66" s="2"/>
      <c r="T66" s="2"/>
      <c r="U66" s="2"/>
      <c r="V66" s="2" t="s">
        <v>27</v>
      </c>
      <c r="W66" s="2"/>
      <c r="X66" s="2"/>
      <c r="Y66" s="2"/>
      <c r="Z66" s="1" t="str">
        <f>[1]Tags!$A$2</f>
        <v>Advance</v>
      </c>
      <c r="AA66" s="1" t="str">
        <f>[1]Tags!$A$6</f>
        <v>SP-Friendly</v>
      </c>
      <c r="AB66" s="1"/>
      <c r="AC66" s="1"/>
      <c r="AD66" s="1" t="str">
        <f>[1]Tags!$A$17</f>
        <v>DPS</v>
      </c>
      <c r="AE66" s="1"/>
      <c r="AF66" s="1" t="str">
        <f>[1]Tags!$A$26</f>
        <v>ATK-Scaller</v>
      </c>
      <c r="AG66" s="1" t="str">
        <f>[1]Tags!$A$25</f>
        <v>SPD-Scaller</v>
      </c>
      <c r="AH66" s="1" t="str">
        <f>[1]Tags!$A$36</f>
        <v>UltimateReliance</v>
      </c>
      <c r="AI66" s="1" t="str">
        <f>[1]Tags!$A$34</f>
        <v>VeryHighEnergy</v>
      </c>
      <c r="AJ66" s="1" t="str">
        <f>[1]Tags!$A$38</f>
        <v>CrisosHeir</v>
      </c>
    </row>
    <row r="67" spans="1:36" x14ac:dyDescent="0.25">
      <c r="A67" s="1" t="s">
        <v>86</v>
      </c>
      <c r="B67" s="1" t="s">
        <v>129</v>
      </c>
      <c r="C67" s="1" t="s">
        <v>118</v>
      </c>
      <c r="D67" s="1" t="s">
        <v>113</v>
      </c>
      <c r="E67" s="1">
        <v>1047</v>
      </c>
      <c r="F67" s="1">
        <v>543</v>
      </c>
      <c r="G67" s="1">
        <v>630</v>
      </c>
      <c r="H67" s="1">
        <v>103</v>
      </c>
      <c r="I67" s="2">
        <v>0.14000000000000001</v>
      </c>
      <c r="J67" s="2">
        <v>0.14000000000000001</v>
      </c>
      <c r="K67" s="2"/>
      <c r="L67" s="3"/>
      <c r="M67" s="2"/>
      <c r="N67" s="2" t="s">
        <v>112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1" t="str">
        <f>[1]Tags!$A$2</f>
        <v>Advance</v>
      </c>
      <c r="AA67" s="1" t="str">
        <f>[1]Tags!$A$3</f>
        <v>Buff</v>
      </c>
      <c r="AB67" s="1"/>
      <c r="AC67" s="1"/>
      <c r="AD67" s="1" t="str">
        <f>[1]Tags!$A$19</f>
        <v>Amplifier</v>
      </c>
      <c r="AE67" s="1"/>
      <c r="AF67" s="1" t="str">
        <f>[1]Tags!$A$29</f>
        <v>CritDMG-Scaller</v>
      </c>
      <c r="AG67" s="1" t="str">
        <f>[1]Tags!$A$32</f>
        <v>HighSpeed</v>
      </c>
      <c r="AH67" s="1"/>
      <c r="AI67" s="1"/>
      <c r="AJ67" s="1" t="str">
        <f>[1]Tags!$A$38</f>
        <v>CrisosHeir</v>
      </c>
    </row>
    <row r="68" spans="1:36" x14ac:dyDescent="0.25">
      <c r="A68" s="1" t="s">
        <v>87</v>
      </c>
      <c r="B68" s="1" t="s">
        <v>126</v>
      </c>
      <c r="C68" s="1" t="s">
        <v>127</v>
      </c>
      <c r="D68" s="1" t="s">
        <v>113</v>
      </c>
      <c r="E68" s="1">
        <v>1047</v>
      </c>
      <c r="F68" s="1">
        <v>523</v>
      </c>
      <c r="G68" s="1">
        <v>727</v>
      </c>
      <c r="H68" s="1">
        <v>96</v>
      </c>
      <c r="I68" s="2">
        <v>0.1</v>
      </c>
      <c r="J68" s="2"/>
      <c r="K68" s="2"/>
      <c r="L68" s="3"/>
      <c r="M68" s="2">
        <v>0.12</v>
      </c>
      <c r="N68" s="2" t="s">
        <v>112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1" t="str">
        <f>[1]Tags!$A$3</f>
        <v>Buff</v>
      </c>
      <c r="AA68" s="1"/>
      <c r="AB68" s="1"/>
      <c r="AC68" s="1"/>
      <c r="AD68" s="1" t="str">
        <f>[1]Tags!$A$19</f>
        <v>Amplifier</v>
      </c>
      <c r="AE68" s="1"/>
      <c r="AF68" s="1" t="str">
        <f>[1]Tags!$A$23</f>
        <v>HP-Scaller</v>
      </c>
      <c r="AG68" s="1" t="str">
        <f>[1]Tags!$A$30</f>
        <v>BaseSpeed</v>
      </c>
      <c r="AH68" s="1"/>
      <c r="AI68" s="1"/>
      <c r="AJ68" s="1" t="str">
        <f>[1]Tags!$A$38</f>
        <v>CrisosHeir</v>
      </c>
    </row>
    <row r="69" spans="1:36" x14ac:dyDescent="0.25">
      <c r="A69" s="1" t="s">
        <v>88</v>
      </c>
      <c r="B69" s="1" t="s">
        <v>115</v>
      </c>
      <c r="C69" s="1" t="s">
        <v>124</v>
      </c>
      <c r="D69" s="1" t="s">
        <v>113</v>
      </c>
      <c r="E69" s="1">
        <v>1552</v>
      </c>
      <c r="F69" s="1">
        <v>426</v>
      </c>
      <c r="G69" s="1">
        <v>194</v>
      </c>
      <c r="H69" s="1">
        <v>95</v>
      </c>
      <c r="I69" s="2">
        <v>0.18</v>
      </c>
      <c r="J69" s="2"/>
      <c r="K69" s="2"/>
      <c r="L69" s="3">
        <v>5</v>
      </c>
      <c r="M69" s="2"/>
      <c r="N69" s="2" t="s">
        <v>112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1" t="str">
        <f>[1]Tags!$A$6</f>
        <v>SP-Friendly</v>
      </c>
      <c r="AA69" s="1"/>
      <c r="AB69" s="1"/>
      <c r="AC69" s="1"/>
      <c r="AD69" s="1" t="str">
        <f>[1]Tags!$A$17</f>
        <v>DPS</v>
      </c>
      <c r="AE69" s="1"/>
      <c r="AF69" s="1" t="str">
        <f>[1]Tags!$A$23</f>
        <v>HP-Scaller</v>
      </c>
      <c r="AG69" s="1" t="str">
        <f>[1]Tags!$A$30</f>
        <v>BaseSpeed</v>
      </c>
      <c r="AH69" s="1" t="s">
        <v>133</v>
      </c>
      <c r="AI69" s="1"/>
      <c r="AJ69" s="1" t="str">
        <f>[1]Tags!$A$38</f>
        <v>CrisosHeir</v>
      </c>
    </row>
    <row r="70" spans="1:36" x14ac:dyDescent="0.25">
      <c r="A70" s="1" t="s">
        <v>89</v>
      </c>
      <c r="B70" s="1" t="s">
        <v>129</v>
      </c>
      <c r="C70" s="1" t="s">
        <v>127</v>
      </c>
      <c r="D70" s="1" t="s">
        <v>113</v>
      </c>
      <c r="E70" s="1">
        <v>1631</v>
      </c>
      <c r="F70" s="1">
        <v>523</v>
      </c>
      <c r="G70" s="1">
        <v>485</v>
      </c>
      <c r="H70" s="1">
        <v>95</v>
      </c>
      <c r="I70" s="2"/>
      <c r="J70" s="2"/>
      <c r="K70" s="2"/>
      <c r="L70" s="3"/>
      <c r="M70" s="2" t="s">
        <v>109</v>
      </c>
      <c r="N70" s="2" t="s">
        <v>110</v>
      </c>
      <c r="O70" s="2"/>
      <c r="P70" s="2"/>
      <c r="Q70" s="2"/>
      <c r="R70" s="2"/>
      <c r="S70" s="2"/>
      <c r="T70" s="2"/>
      <c r="U70" s="2"/>
      <c r="V70" s="2"/>
      <c r="W70" s="2"/>
      <c r="X70" s="2" t="s">
        <v>104</v>
      </c>
      <c r="Y70" s="2"/>
      <c r="Z70" s="1" t="str">
        <f>[1]Tags!$A$2</f>
        <v>Advance</v>
      </c>
      <c r="AA70" s="1" t="str">
        <f>[1]Tags!$A$6</f>
        <v>SP-Friendly</v>
      </c>
      <c r="AB70" s="1"/>
      <c r="AC70" s="1"/>
      <c r="AD70" s="1" t="str">
        <f>[1]Tags!$A$17</f>
        <v>DPS</v>
      </c>
      <c r="AE70" s="1"/>
      <c r="AF70" s="1" t="str">
        <f>[1]Tags!$A$23</f>
        <v>HP-Scaller</v>
      </c>
      <c r="AG70" s="1"/>
      <c r="AH70" s="1"/>
      <c r="AI70" s="1"/>
      <c r="AJ70" s="1" t="str">
        <f>[1]Tags!$A$38</f>
        <v>CrisosHeir</v>
      </c>
    </row>
    <row r="71" spans="1:36" x14ac:dyDescent="0.25">
      <c r="A71" s="1" t="s">
        <v>90</v>
      </c>
      <c r="B71" s="1" t="s">
        <v>121</v>
      </c>
      <c r="C71" s="1" t="s">
        <v>120</v>
      </c>
      <c r="D71" s="1" t="s">
        <v>113</v>
      </c>
      <c r="E71" s="1">
        <v>970</v>
      </c>
      <c r="F71" s="1">
        <v>756</v>
      </c>
      <c r="G71" s="1">
        <v>557</v>
      </c>
      <c r="H71" s="1">
        <v>97</v>
      </c>
      <c r="I71" s="2">
        <v>0.1</v>
      </c>
      <c r="J71" s="2"/>
      <c r="K71" s="2"/>
      <c r="L71" s="3"/>
      <c r="M71" s="2">
        <v>0.12</v>
      </c>
      <c r="N71" s="2"/>
      <c r="O71" s="2"/>
      <c r="P71" s="2"/>
      <c r="Q71" s="2"/>
      <c r="R71" s="2"/>
      <c r="S71" s="2"/>
      <c r="T71" s="2"/>
      <c r="U71" s="2"/>
      <c r="V71" s="2"/>
      <c r="W71" s="2" t="s">
        <v>27</v>
      </c>
      <c r="X71" s="2"/>
      <c r="Y71" s="2"/>
      <c r="Z71" s="1" t="str">
        <f>[1]Tags!$A$13</f>
        <v>Debuff</v>
      </c>
      <c r="AA71" s="1"/>
      <c r="AB71" s="1"/>
      <c r="AC71" s="1"/>
      <c r="AD71" s="1" t="str">
        <f>[1]Tags!$A$17</f>
        <v>DPS</v>
      </c>
      <c r="AE71" s="1"/>
      <c r="AF71" s="1" t="str">
        <f>[1]Tags!$A$26</f>
        <v>ATK-Scaller</v>
      </c>
      <c r="AG71" s="1"/>
      <c r="AH71" s="1"/>
      <c r="AI71" s="1"/>
      <c r="AJ71" s="1" t="str">
        <f>[1]Tags!$A$38</f>
        <v>CrisosHeir</v>
      </c>
    </row>
    <row r="72" spans="1:36" x14ac:dyDescent="0.25">
      <c r="A72" s="1" t="s">
        <v>91</v>
      </c>
      <c r="B72" s="1" t="s">
        <v>129</v>
      </c>
      <c r="C72" s="1" t="s">
        <v>120</v>
      </c>
      <c r="D72" s="1" t="s">
        <v>113</v>
      </c>
      <c r="E72" s="1">
        <v>1087</v>
      </c>
      <c r="F72" s="1">
        <v>388</v>
      </c>
      <c r="G72" s="1">
        <v>630</v>
      </c>
      <c r="H72" s="1">
        <v>110</v>
      </c>
      <c r="I72" s="2">
        <v>0.1</v>
      </c>
      <c r="J72" s="2"/>
      <c r="K72" s="2"/>
      <c r="L72" s="3">
        <v>14</v>
      </c>
      <c r="M72" s="2"/>
      <c r="N72" s="2"/>
      <c r="O72" s="2"/>
      <c r="P72" s="2"/>
      <c r="Q72" s="2"/>
      <c r="R72" s="2">
        <v>0.18</v>
      </c>
      <c r="S72" s="2"/>
      <c r="T72" s="2"/>
      <c r="U72" s="2"/>
      <c r="V72" s="2"/>
      <c r="W72" s="2"/>
      <c r="X72" s="2"/>
      <c r="Y72" s="2"/>
      <c r="Z72" s="1" t="str">
        <f>[1]Tags!$A$3</f>
        <v>Buff</v>
      </c>
      <c r="AA72" s="1" t="str">
        <f>[1]Tags!$A$9</f>
        <v>SP-Unfriendly</v>
      </c>
      <c r="AB72" s="1"/>
      <c r="AC72" s="1"/>
      <c r="AD72" s="1" t="str">
        <f>[1]Tags!$A$20</f>
        <v>Sustain</v>
      </c>
      <c r="AE72" s="1"/>
      <c r="AF72" s="1" t="str">
        <f>[1]Tags!$A$23</f>
        <v>HP-Scaller</v>
      </c>
      <c r="AG72" s="1" t="str">
        <f>[1]Tags!$A$32</f>
        <v>HighSpeed</v>
      </c>
      <c r="AH72" s="1"/>
      <c r="AI72" s="1"/>
      <c r="AJ72" s="1" t="str">
        <f>[1]Tags!$A$38</f>
        <v>CrisosHeir</v>
      </c>
    </row>
    <row r="73" spans="1:36" x14ac:dyDescent="0.25">
      <c r="A73" s="1" t="s">
        <v>92</v>
      </c>
      <c r="B73" s="1" t="s">
        <v>123</v>
      </c>
      <c r="C73" s="1" t="s">
        <v>127</v>
      </c>
      <c r="D73" s="1" t="s">
        <v>113</v>
      </c>
      <c r="E73" s="1">
        <v>931</v>
      </c>
      <c r="F73" s="1">
        <v>640</v>
      </c>
      <c r="G73" s="1">
        <v>509</v>
      </c>
      <c r="H73" s="1">
        <v>106</v>
      </c>
      <c r="I73" s="2"/>
      <c r="J73" s="2"/>
      <c r="K73" s="2"/>
      <c r="L73" s="3">
        <v>14</v>
      </c>
      <c r="M73" s="2"/>
      <c r="N73" s="2"/>
      <c r="O73" s="2"/>
      <c r="P73" s="2"/>
      <c r="Q73" s="2">
        <v>0.1</v>
      </c>
      <c r="R73" s="2"/>
      <c r="S73" s="2"/>
      <c r="T73" s="2"/>
      <c r="U73" s="2"/>
      <c r="V73" s="2"/>
      <c r="W73" s="2"/>
      <c r="X73" s="2" t="s">
        <v>104</v>
      </c>
      <c r="Y73" s="2"/>
      <c r="Z73" s="1" t="str">
        <f>[1]Tags!$A$13</f>
        <v>Debuff</v>
      </c>
      <c r="AA73" s="1" t="str">
        <f>[1]Tags!$A$9</f>
        <v>SP-Unfriendly</v>
      </c>
      <c r="AB73" s="1"/>
      <c r="AC73" s="1"/>
      <c r="AD73" s="1" t="str">
        <f>[1]Tags!$A$19</f>
        <v>Amplifier</v>
      </c>
      <c r="AE73" s="1"/>
      <c r="AF73" s="1" t="str">
        <f>[1]Tags!$A$26</f>
        <v>ATK-Scaller</v>
      </c>
      <c r="AG73" s="1" t="str">
        <f>[1]Tags!$A$32</f>
        <v>HighSpeed</v>
      </c>
      <c r="AH73" s="1"/>
      <c r="AI73" s="1"/>
      <c r="AJ73" s="1" t="str">
        <f>[1]Tags!$A$38</f>
        <v>CrisosHeir</v>
      </c>
    </row>
    <row r="74" spans="1:36" x14ac:dyDescent="0.25">
      <c r="A74" s="1" t="s">
        <v>93</v>
      </c>
      <c r="B74" s="1" t="s">
        <v>115</v>
      </c>
      <c r="C74" s="1" t="s">
        <v>117</v>
      </c>
      <c r="D74" s="1" t="s">
        <v>113</v>
      </c>
      <c r="E74" s="1">
        <v>1433</v>
      </c>
      <c r="F74" s="1">
        <v>582</v>
      </c>
      <c r="G74" s="1">
        <v>703</v>
      </c>
      <c r="H74" s="1">
        <v>94</v>
      </c>
      <c r="I74" s="2"/>
      <c r="J74" s="2"/>
      <c r="K74" s="2"/>
      <c r="L74" s="3">
        <v>5</v>
      </c>
      <c r="M74" s="2">
        <v>0.12</v>
      </c>
      <c r="N74" s="2" t="s">
        <v>112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1"/>
      <c r="AA74" s="1"/>
      <c r="AB74" s="1"/>
      <c r="AC74" s="1"/>
      <c r="AD74" s="1" t="str">
        <f>[1]Tags!$A$17</f>
        <v>DPS</v>
      </c>
      <c r="AE74" s="1"/>
      <c r="AF74" s="1" t="str">
        <f>[1]Tags!$A$26</f>
        <v>ATK-Scaller</v>
      </c>
      <c r="AG74" s="1" t="str">
        <f>[1]Tags!$A$36</f>
        <v>UltimateReliance</v>
      </c>
      <c r="AH74" s="1"/>
      <c r="AI74" s="1"/>
      <c r="AJ74" s="1" t="str">
        <f>[1]Tags!$A$38</f>
        <v>CrisosHeir</v>
      </c>
    </row>
    <row r="75" spans="1:36" x14ac:dyDescent="0.25">
      <c r="A75" s="1" t="s">
        <v>94</v>
      </c>
      <c r="B75" s="1" t="s">
        <v>119</v>
      </c>
      <c r="C75" s="1" t="s">
        <v>127</v>
      </c>
      <c r="D75" s="1" t="s">
        <v>113</v>
      </c>
      <c r="E75" s="1">
        <v>1164</v>
      </c>
      <c r="F75" s="1">
        <v>620</v>
      </c>
      <c r="G75" s="1">
        <v>485</v>
      </c>
      <c r="H75" s="1">
        <v>105</v>
      </c>
      <c r="I75" s="2"/>
      <c r="J75" s="2">
        <v>0.18</v>
      </c>
      <c r="K75" s="2"/>
      <c r="L75" s="3"/>
      <c r="M75" s="2" t="s">
        <v>105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27</v>
      </c>
      <c r="Y75" s="2"/>
      <c r="Z75" s="1" t="str">
        <f>[1]Tags!$A$9</f>
        <v>SP-Unfriendly</v>
      </c>
      <c r="AA75" s="1"/>
      <c r="AB75" s="1"/>
      <c r="AC75" s="1"/>
      <c r="AD75" s="1" t="str">
        <f>[1]Tags!$A$17</f>
        <v>DPS</v>
      </c>
      <c r="AE75" s="1"/>
      <c r="AF75" s="1" t="str">
        <f>[1]Tags!$A$26</f>
        <v>ATK-Scaller</v>
      </c>
      <c r="AG75" s="1" t="str">
        <f>[1]Tags!$A$30</f>
        <v>BaseSpeed</v>
      </c>
      <c r="AH75" s="1"/>
      <c r="AI75" s="1"/>
      <c r="AJ75" s="1"/>
    </row>
    <row r="76" spans="1:36" x14ac:dyDescent="0.25">
      <c r="A76" s="1" t="s">
        <v>97</v>
      </c>
      <c r="B76" s="1" t="s">
        <v>115</v>
      </c>
      <c r="C76" s="1" t="s">
        <v>120</v>
      </c>
      <c r="D76" s="1" t="s">
        <v>113</v>
      </c>
      <c r="E76" s="1">
        <v>1241</v>
      </c>
      <c r="F76" s="1">
        <v>601</v>
      </c>
      <c r="G76" s="1">
        <v>654</v>
      </c>
      <c r="H76" s="1">
        <v>101</v>
      </c>
      <c r="I76" s="2">
        <v>0.1</v>
      </c>
      <c r="J76" s="2"/>
      <c r="K76" s="2"/>
      <c r="L76" s="3"/>
      <c r="M76" s="2">
        <v>0.12</v>
      </c>
      <c r="N76" s="2"/>
      <c r="O76" s="2"/>
      <c r="P76" s="2"/>
      <c r="Q76" s="2"/>
      <c r="R76" s="2"/>
      <c r="S76" s="2"/>
      <c r="T76" s="2"/>
      <c r="U76" s="2"/>
      <c r="V76" s="2"/>
      <c r="W76" s="2" t="s">
        <v>27</v>
      </c>
      <c r="X76" s="2"/>
      <c r="Y76" s="2"/>
      <c r="Z76" s="1" t="str">
        <f>[1]Tags!$A$2</f>
        <v>Advance</v>
      </c>
      <c r="AA76" s="1"/>
      <c r="AB76" s="1"/>
      <c r="AC76" s="1"/>
      <c r="AD76" s="1" t="str">
        <f>[1]Tags!$A$17</f>
        <v>DPS</v>
      </c>
      <c r="AE76" s="1"/>
      <c r="AF76" s="1" t="str">
        <f>[1]Tags!$A$26</f>
        <v>ATK-Scaller</v>
      </c>
      <c r="AG76" s="1" t="str">
        <f>[1]Tags!$A$34</f>
        <v>VeryHighEnergy</v>
      </c>
      <c r="AH76" s="1"/>
      <c r="AI76" s="1"/>
      <c r="AJ76" s="1"/>
    </row>
    <row r="77" spans="1:36" x14ac:dyDescent="0.25">
      <c r="A77" s="1" t="s">
        <v>98</v>
      </c>
      <c r="B77" s="1" t="s">
        <v>123</v>
      </c>
      <c r="C77" s="1" t="s">
        <v>117</v>
      </c>
      <c r="D77" s="1" t="s">
        <v>113</v>
      </c>
      <c r="E77" s="1">
        <v>1205</v>
      </c>
      <c r="F77" s="1">
        <v>601</v>
      </c>
      <c r="G77" s="1">
        <v>485</v>
      </c>
      <c r="H77" s="1">
        <v>102</v>
      </c>
      <c r="I77" s="2"/>
      <c r="J77" s="2">
        <v>0.18</v>
      </c>
      <c r="K77" s="2"/>
      <c r="L77" s="3">
        <v>14</v>
      </c>
      <c r="M77" s="2"/>
      <c r="N77" s="2"/>
      <c r="O77" s="2"/>
      <c r="P77" s="2"/>
      <c r="Q77" s="2">
        <v>0.1</v>
      </c>
      <c r="R77" s="2"/>
      <c r="S77" s="2"/>
      <c r="T77" s="2"/>
      <c r="U77" s="2"/>
      <c r="V77" s="2"/>
      <c r="W77" s="2"/>
      <c r="X77" s="2"/>
      <c r="Y77" s="2"/>
      <c r="Z77" s="1" t="str">
        <f>[1]Tags!$A$14</f>
        <v>DoT</v>
      </c>
      <c r="AA77" s="1" t="str">
        <f>[1]Tags!$A$13</f>
        <v>Debuff</v>
      </c>
      <c r="AB77" s="1"/>
      <c r="AC77" s="1"/>
      <c r="AD77" s="1" t="str">
        <f>[1]Tags!$A$17</f>
        <v>DPS</v>
      </c>
      <c r="AE77" s="1"/>
      <c r="AF77" s="1" t="str">
        <f>[1]Tags!$A$26</f>
        <v>ATK-Scaller</v>
      </c>
      <c r="AG77" s="1" t="str">
        <f>[1]Tags!$A$28</f>
        <v>EHR-Scaller</v>
      </c>
      <c r="AH77" s="1" t="str">
        <f>[1]Tags!$A$39</f>
        <v>SpeedTunning</v>
      </c>
      <c r="AI77" s="1"/>
      <c r="AJ77" s="1" t="str">
        <f>[1]Tags!$A$38</f>
        <v>CrisosHeir</v>
      </c>
    </row>
    <row r="78" spans="1:36" x14ac:dyDescent="0.25">
      <c r="A78" s="1" t="s">
        <v>99</v>
      </c>
      <c r="B78" s="1" t="s">
        <v>126</v>
      </c>
      <c r="C78" s="1" t="s">
        <v>120</v>
      </c>
      <c r="D78" s="1" t="s">
        <v>113</v>
      </c>
      <c r="E78" s="1">
        <v>1358</v>
      </c>
      <c r="F78" s="1">
        <v>620</v>
      </c>
      <c r="G78" s="1">
        <v>485</v>
      </c>
      <c r="H78" s="1">
        <v>99</v>
      </c>
      <c r="I78" s="2">
        <v>0.1</v>
      </c>
      <c r="J78" s="2">
        <v>0.18</v>
      </c>
      <c r="K78" s="2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 t="s">
        <v>27</v>
      </c>
      <c r="X78" s="2"/>
      <c r="Y78" s="2"/>
      <c r="Z78" s="1" t="str">
        <f>[1]Tags!$A$3</f>
        <v>Buff</v>
      </c>
      <c r="AA78" s="1"/>
      <c r="AB78" s="1"/>
      <c r="AC78" s="1"/>
      <c r="AD78" s="1" t="str">
        <f>[1]Tags!$A$19</f>
        <v>Amplifier</v>
      </c>
      <c r="AE78" s="1"/>
      <c r="AF78" s="1" t="str">
        <f>[1]Tags!$A$26</f>
        <v>ATK-Scaller</v>
      </c>
      <c r="AG78" s="1" t="str">
        <f>[1]Tags!$A$32</f>
        <v>HighSpeed</v>
      </c>
      <c r="AH78" s="1"/>
      <c r="AI78" s="1"/>
      <c r="AJ78" s="1" t="str">
        <f>[1]Tags!$A$38</f>
        <v>CrisosHeir</v>
      </c>
    </row>
    <row r="79" spans="1:36" x14ac:dyDescent="0.25">
      <c r="A79" s="1" t="s">
        <v>100</v>
      </c>
      <c r="B79" s="1" t="s">
        <v>129</v>
      </c>
      <c r="C79" s="1" t="s">
        <v>118</v>
      </c>
      <c r="D79" s="1" t="s">
        <v>113</v>
      </c>
      <c r="E79" s="1">
        <v>1323</v>
      </c>
      <c r="F79" s="1">
        <v>543</v>
      </c>
      <c r="G79" s="1">
        <v>582</v>
      </c>
      <c r="H79" s="1">
        <v>99</v>
      </c>
      <c r="I79" s="2">
        <v>0.18</v>
      </c>
      <c r="J79" s="2"/>
      <c r="K79" s="2"/>
      <c r="L79" s="3"/>
      <c r="M79" s="2" t="s">
        <v>109</v>
      </c>
      <c r="N79" s="2" t="s">
        <v>110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1" t="str">
        <f>[1]Tags!$A$3</f>
        <v>Buff</v>
      </c>
      <c r="AA79" s="1" t="str">
        <f>[1]Tags!$A$6</f>
        <v>SP-Friendly</v>
      </c>
      <c r="AB79" s="1"/>
      <c r="AC79" s="1"/>
      <c r="AD79" s="1" t="str">
        <f>[1]Tags!$A$17</f>
        <v>DPS</v>
      </c>
      <c r="AE79" s="1" t="str">
        <f>[1]Tags!$A$18</f>
        <v>Support-DPS</v>
      </c>
      <c r="AF79" s="1" t="str">
        <f>[1]Tags!$A$23</f>
        <v>HP-Scaller</v>
      </c>
      <c r="AG79" s="1" t="str">
        <f>[1]Tags!$A$30</f>
        <v>BaseSpeed</v>
      </c>
      <c r="AH79" s="1"/>
      <c r="AI79" s="1"/>
      <c r="AJ79" s="1" t="str">
        <f>[1]Tags!$A$38</f>
        <v>CrisosHeir</v>
      </c>
    </row>
    <row r="80" spans="1:36" x14ac:dyDescent="0.25">
      <c r="A80" s="1" t="s">
        <v>101</v>
      </c>
      <c r="B80" s="1" t="s">
        <v>116</v>
      </c>
      <c r="C80" s="1" t="s">
        <v>117</v>
      </c>
      <c r="D80" s="1" t="s">
        <v>113</v>
      </c>
      <c r="E80" s="1">
        <v>1047</v>
      </c>
      <c r="F80" s="1">
        <v>582</v>
      </c>
      <c r="G80" s="1">
        <v>776</v>
      </c>
      <c r="H80" s="1">
        <v>97</v>
      </c>
      <c r="I80" s="2"/>
      <c r="J80" s="2">
        <v>0.28000000000000003</v>
      </c>
      <c r="K80" s="2" t="s">
        <v>19</v>
      </c>
      <c r="L80" s="3">
        <v>5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1" t="str">
        <f>[1]Tags!$A$3</f>
        <v>Buff</v>
      </c>
      <c r="AA80" s="1" t="str">
        <f>[1]Tags!$A$6</f>
        <v>SP-Friendly</v>
      </c>
      <c r="AB80" s="1"/>
      <c r="AC80" s="1"/>
      <c r="AD80" s="1" t="str">
        <f>[1]Tags!$A$20</f>
        <v>Sustain</v>
      </c>
      <c r="AE80" s="1"/>
      <c r="AF80" s="1" t="str">
        <f>[1]Tags!$A$26</f>
        <v>ATK-Scaller</v>
      </c>
      <c r="AG80" s="1"/>
      <c r="AH80" s="1"/>
      <c r="AI80" s="1"/>
      <c r="AJ80" s="1" t="str">
        <f>[1]Tags!$A$38</f>
        <v>CrisosHeir</v>
      </c>
    </row>
    <row r="81" spans="1:36" x14ac:dyDescent="0.25">
      <c r="A81" s="1" t="s">
        <v>102</v>
      </c>
      <c r="B81" s="1" t="s">
        <v>129</v>
      </c>
      <c r="C81" s="1" t="s">
        <v>118</v>
      </c>
      <c r="D81" s="1" t="s">
        <v>113</v>
      </c>
      <c r="E81" s="1">
        <v>1396</v>
      </c>
      <c r="F81" s="1">
        <v>446</v>
      </c>
      <c r="G81" s="1">
        <v>582</v>
      </c>
      <c r="H81" s="1">
        <v>101</v>
      </c>
      <c r="I81" s="2">
        <v>0.1</v>
      </c>
      <c r="J81" s="2"/>
      <c r="K81" s="2"/>
      <c r="L81" s="3">
        <v>9</v>
      </c>
      <c r="M81" s="2"/>
      <c r="N81" s="2" t="s">
        <v>112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1" t="str">
        <f>[1]Tags!$A$5</f>
        <v>Energy</v>
      </c>
      <c r="AA81" s="1" t="str">
        <f>[1]Tags!$A$6</f>
        <v>SP-Friendly</v>
      </c>
      <c r="AB81" s="1"/>
      <c r="AC81" s="1"/>
      <c r="AD81" s="1" t="str">
        <f>[1]Tags!$A$19</f>
        <v>Amplifier</v>
      </c>
      <c r="AE81" s="1"/>
      <c r="AF81" s="1" t="str">
        <f>[1]Tags!$A$23</f>
        <v>HP-Scaller</v>
      </c>
      <c r="AG81" s="1" t="str">
        <f>[1]Tags!$A$32</f>
        <v>HighSpeed</v>
      </c>
      <c r="AH81" s="1"/>
      <c r="AI81" s="1"/>
      <c r="AJ81" s="1" t="str">
        <f>[1]Tags!$A$38</f>
        <v>CrisosHeir</v>
      </c>
    </row>
    <row r="82" spans="1:36" x14ac:dyDescent="0.25">
      <c r="A82" s="1" t="s">
        <v>103</v>
      </c>
      <c r="B82" s="1" t="s">
        <v>123</v>
      </c>
      <c r="C82" s="1" t="s">
        <v>122</v>
      </c>
      <c r="D82" s="1" t="s">
        <v>113</v>
      </c>
      <c r="E82" s="1">
        <v>1087</v>
      </c>
      <c r="F82" s="1">
        <v>679</v>
      </c>
      <c r="G82" s="1">
        <v>606</v>
      </c>
      <c r="H82" s="1">
        <v>96</v>
      </c>
      <c r="I82" s="2"/>
      <c r="J82" s="2"/>
      <c r="K82" s="2"/>
      <c r="L82" s="3">
        <v>5</v>
      </c>
      <c r="M82" s="2"/>
      <c r="N82" s="2"/>
      <c r="O82" s="2" t="s">
        <v>112</v>
      </c>
      <c r="P82" s="2"/>
      <c r="Q82" s="2"/>
      <c r="R82" s="2">
        <v>0.18</v>
      </c>
      <c r="S82" s="2"/>
      <c r="T82" s="2"/>
      <c r="U82" s="2"/>
      <c r="V82" s="2"/>
      <c r="W82" s="2"/>
      <c r="X82" s="2"/>
      <c r="Y82" s="2"/>
      <c r="Z82" s="1" t="str">
        <f>[1]Tags!$A$12</f>
        <v>Break</v>
      </c>
      <c r="AA82" s="1" t="str">
        <f>[1]Tags!$A$3</f>
        <v>Buff</v>
      </c>
      <c r="AB82" s="1" t="str">
        <f>[1]Tags!$A$6</f>
        <v>SP-Friendly</v>
      </c>
      <c r="AC82" s="1"/>
      <c r="AD82" s="1" t="str">
        <f>[1]Tags!$A$19</f>
        <v>Amplifier</v>
      </c>
      <c r="AE82" s="1"/>
      <c r="AF82" s="1" t="str">
        <f>[1]Tags!$A$27</f>
        <v>Break-Scaller</v>
      </c>
      <c r="AG82" s="1" t="str">
        <f>[1]Tags!$A$32</f>
        <v>HighSpeed</v>
      </c>
      <c r="AH82" s="1"/>
      <c r="AI82" s="1"/>
      <c r="AJ82" s="1"/>
    </row>
  </sheetData>
  <mergeCells count="4">
    <mergeCell ref="I1:Y1"/>
    <mergeCell ref="Z2:AC2"/>
    <mergeCell ref="AD2:AE2"/>
    <mergeCell ref="AF2:AJ2"/>
  </mergeCells>
  <pageMargins left="0.7" right="0.7" top="0.75" bottom="0.75" header="0.3" footer="0.3"/>
  <pageSetup orientation="portrait" r:id="rId1"/>
  <ignoredErrors>
    <ignoredError sqref="Z29 Z43:Z44 Z46 Z61 Z63:Z64 AA66 Z72 AD4 AD7 AD10 AD78 AF51 AF54:AF55 AF6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ALEXANDER ACOSTA LOPEZ</dc:creator>
  <cp:lastModifiedBy>JAVIER ALEXANDER ACOSTA LOPEZ</cp:lastModifiedBy>
  <dcterms:created xsi:type="dcterms:W3CDTF">2026-05-18T04:51:49Z</dcterms:created>
  <dcterms:modified xsi:type="dcterms:W3CDTF">2026-05-20T20:36:58Z</dcterms:modified>
</cp:coreProperties>
</file>